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1stellar-my.sharepoint.com/personal/aagboola_stellar_net/Documents/DevOps/"/>
    </mc:Choice>
  </mc:AlternateContent>
  <xr:revisionPtr revIDLastSave="0" documentId="13_ncr:40009_{4B6C3B0A-001D-4CE1-A2FB-B7676D585E78}" xr6:coauthVersionLast="47" xr6:coauthVersionMax="47" xr10:uidLastSave="{00000000-0000-0000-0000-000000000000}"/>
  <bookViews>
    <workbookView xWindow="14115" yWindow="-16320" windowWidth="29040" windowHeight="15720"/>
  </bookViews>
  <sheets>
    <sheet name="players" sheetId="1" r:id="rId1"/>
  </sheets>
  <calcPr calcId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2" i="1"/>
  <c r="C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2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3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G2" i="1" l="1"/>
</calcChain>
</file>

<file path=xl/sharedStrings.xml><?xml version="1.0" encoding="utf-8"?>
<sst xmlns="http://schemas.openxmlformats.org/spreadsheetml/2006/main" count="2747" uniqueCount="1087">
  <si>
    <t>fname</t>
  </si>
  <si>
    <t>lname</t>
  </si>
  <si>
    <t>position</t>
  </si>
  <si>
    <t>height</t>
  </si>
  <si>
    <t>weight</t>
  </si>
  <si>
    <t>birthday</t>
  </si>
  <si>
    <t>country</t>
  </si>
  <si>
    <t>school</t>
  </si>
  <si>
    <t>draft_year</t>
  </si>
  <si>
    <t>draft_round</t>
  </si>
  <si>
    <t>draft_number</t>
  </si>
  <si>
    <t>Precious</t>
  </si>
  <si>
    <t>Achiuwa</t>
  </si>
  <si>
    <t>Forward</t>
  </si>
  <si>
    <t>Nigeria</t>
  </si>
  <si>
    <t>Memphis</t>
  </si>
  <si>
    <t>Steven</t>
  </si>
  <si>
    <t>Adams</t>
  </si>
  <si>
    <t>Center</t>
  </si>
  <si>
    <t>New Zealand</t>
  </si>
  <si>
    <t>Pittsburgh</t>
  </si>
  <si>
    <t>Bam</t>
  </si>
  <si>
    <t>Adebayo</t>
  </si>
  <si>
    <t>Center-Forward</t>
  </si>
  <si>
    <t>USA</t>
  </si>
  <si>
    <t>Kentucky</t>
  </si>
  <si>
    <t>Ochai</t>
  </si>
  <si>
    <t>Agbaji</t>
  </si>
  <si>
    <t>Guard</t>
  </si>
  <si>
    <t>Kansas</t>
  </si>
  <si>
    <t>Santi</t>
  </si>
  <si>
    <t>Aldama</t>
  </si>
  <si>
    <t>Forward-Center</t>
  </si>
  <si>
    <t>Spain</t>
  </si>
  <si>
    <t>Loyola-Maryland</t>
  </si>
  <si>
    <t>Nickeil</t>
  </si>
  <si>
    <t>Alexander-Walker</t>
  </si>
  <si>
    <t>Canada</t>
  </si>
  <si>
    <t>Virginia Tech</t>
  </si>
  <si>
    <t>Grayson</t>
  </si>
  <si>
    <t>Allen</t>
  </si>
  <si>
    <t>Duke</t>
  </si>
  <si>
    <t>Jarrett</t>
  </si>
  <si>
    <t>Texas</t>
  </si>
  <si>
    <t>Jose</t>
  </si>
  <si>
    <t>Alvarado</t>
  </si>
  <si>
    <t>Georgia Tech</t>
  </si>
  <si>
    <t>Kyle</t>
  </si>
  <si>
    <t>Anderson</t>
  </si>
  <si>
    <t>Forward-Guard</t>
  </si>
  <si>
    <t>UCLA</t>
  </si>
  <si>
    <t>Giannis</t>
  </si>
  <si>
    <t>Antetokounmpo</t>
  </si>
  <si>
    <t>Greece</t>
  </si>
  <si>
    <t>Filathlitikos</t>
  </si>
  <si>
    <t>Kostas</t>
  </si>
  <si>
    <t>University of Dayton</t>
  </si>
  <si>
    <t>Thanasis</t>
  </si>
  <si>
    <t>Panathinaikos</t>
  </si>
  <si>
    <t>Cole</t>
  </si>
  <si>
    <t>Anthony</t>
  </si>
  <si>
    <t>North Carolina</t>
  </si>
  <si>
    <t>O.G.</t>
  </si>
  <si>
    <t>Anunoby</t>
  </si>
  <si>
    <t>United Kingdom</t>
  </si>
  <si>
    <t>Indiana</t>
  </si>
  <si>
    <t>Ryan</t>
  </si>
  <si>
    <t>Arcidiacono</t>
  </si>
  <si>
    <t>Villanova</t>
  </si>
  <si>
    <t>D.J.</t>
  </si>
  <si>
    <t>Augustin</t>
  </si>
  <si>
    <t>University of Texas at Austin</t>
  </si>
  <si>
    <t>Deni</t>
  </si>
  <si>
    <t>Avdija</t>
  </si>
  <si>
    <t>Israel</t>
  </si>
  <si>
    <t>Maccabi Tel Aviv</t>
  </si>
  <si>
    <t>Deandre</t>
  </si>
  <si>
    <t>Ayton</t>
  </si>
  <si>
    <t>Bahamas</t>
  </si>
  <si>
    <t>Arizona</t>
  </si>
  <si>
    <t>Udoka</t>
  </si>
  <si>
    <t>Azubuike</t>
  </si>
  <si>
    <t>Ibou</t>
  </si>
  <si>
    <t>Badji</t>
  </si>
  <si>
    <t>Senegal</t>
  </si>
  <si>
    <t>FC Barcelona</t>
  </si>
  <si>
    <t>Marvin</t>
  </si>
  <si>
    <t>Bagley III</t>
  </si>
  <si>
    <t>Patrick</t>
  </si>
  <si>
    <t>Baldwin</t>
  </si>
  <si>
    <t>Wisconsin-Milwaukee</t>
  </si>
  <si>
    <t>LaMelo</t>
  </si>
  <si>
    <t>Ball</t>
  </si>
  <si>
    <t>Illawarra</t>
  </si>
  <si>
    <t>Mo</t>
  </si>
  <si>
    <t>Bamba</t>
  </si>
  <si>
    <t>Paolo</t>
  </si>
  <si>
    <t>Banchero</t>
  </si>
  <si>
    <t>Desmond</t>
  </si>
  <si>
    <t>Bane</t>
  </si>
  <si>
    <t>TCU</t>
  </si>
  <si>
    <t>Dalano</t>
  </si>
  <si>
    <t>Banton</t>
  </si>
  <si>
    <t>Nebraska</t>
  </si>
  <si>
    <t>Dominick</t>
  </si>
  <si>
    <t>Barlow</t>
  </si>
  <si>
    <t>Harrison</t>
  </si>
  <si>
    <t>Barnes</t>
  </si>
  <si>
    <t>Scottie</t>
  </si>
  <si>
    <t>Florida State</t>
  </si>
  <si>
    <t>RJ</t>
  </si>
  <si>
    <t>Barrett</t>
  </si>
  <si>
    <t>Will</t>
  </si>
  <si>
    <t>Barton</t>
  </si>
  <si>
    <t>Charles</t>
  </si>
  <si>
    <t>Bassey</t>
  </si>
  <si>
    <t>Western Kentucky</t>
  </si>
  <si>
    <t>Keita</t>
  </si>
  <si>
    <t>Bates-Diop</t>
  </si>
  <si>
    <t>Ohio State</t>
  </si>
  <si>
    <t>Nicolas</t>
  </si>
  <si>
    <t>Batum</t>
  </si>
  <si>
    <t>Guard-Forward</t>
  </si>
  <si>
    <t>France</t>
  </si>
  <si>
    <t>Le Mans</t>
  </si>
  <si>
    <t>Darius</t>
  </si>
  <si>
    <t>Bazley</t>
  </si>
  <si>
    <t>Princeton HS (OH)</t>
  </si>
  <si>
    <t>Bradley</t>
  </si>
  <si>
    <t>Beal</t>
  </si>
  <si>
    <t>Florida</t>
  </si>
  <si>
    <t>Malik</t>
  </si>
  <si>
    <t>Beasley</t>
  </si>
  <si>
    <t>MarJon</t>
  </si>
  <si>
    <t>Beauchamp</t>
  </si>
  <si>
    <t>NBA G League Ignite</t>
  </si>
  <si>
    <t>Davis</t>
  </si>
  <si>
    <t>Bertans</t>
  </si>
  <si>
    <t>Latvia</t>
  </si>
  <si>
    <t>Baskonia</t>
  </si>
  <si>
    <t>Beverley</t>
  </si>
  <si>
    <t>Arkansas</t>
  </si>
  <si>
    <t>Saddiq</t>
  </si>
  <si>
    <t>Bey</t>
  </si>
  <si>
    <t>Khem</t>
  </si>
  <si>
    <t>Birch</t>
  </si>
  <si>
    <t>UNLV</t>
  </si>
  <si>
    <t>Goga</t>
  </si>
  <si>
    <t>Bitadze</t>
  </si>
  <si>
    <t>Georgia</t>
  </si>
  <si>
    <t>Mega Basket</t>
  </si>
  <si>
    <t>Bismack</t>
  </si>
  <si>
    <t>Biyombo</t>
  </si>
  <si>
    <t>DRC</t>
  </si>
  <si>
    <t>Baloncesto Fuenlabrada</t>
  </si>
  <si>
    <t>Buddy</t>
  </si>
  <si>
    <t>Boeheim</t>
  </si>
  <si>
    <t>Syracuse</t>
  </si>
  <si>
    <t>Bogdan</t>
  </si>
  <si>
    <t>Bogdanovic</t>
  </si>
  <si>
    <t>Serbia</t>
  </si>
  <si>
    <t>Fenerbahce</t>
  </si>
  <si>
    <t>Bojan</t>
  </si>
  <si>
    <t>Croatia</t>
  </si>
  <si>
    <t>Bol</t>
  </si>
  <si>
    <t>Sudan</t>
  </si>
  <si>
    <t>Oregon</t>
  </si>
  <si>
    <t>Leandro</t>
  </si>
  <si>
    <t>Bolmaro</t>
  </si>
  <si>
    <t>Argentina</t>
  </si>
  <si>
    <t>Devin</t>
  </si>
  <si>
    <t>Booker</t>
  </si>
  <si>
    <t>Brandon</t>
  </si>
  <si>
    <t>Boston Jr.</t>
  </si>
  <si>
    <t>Chris</t>
  </si>
  <si>
    <t>Boucher</t>
  </si>
  <si>
    <t>Saint Lucia</t>
  </si>
  <si>
    <t>James</t>
  </si>
  <si>
    <t>Bouknight</t>
  </si>
  <si>
    <t>Connecticut</t>
  </si>
  <si>
    <t>Jamaree</t>
  </si>
  <si>
    <t>Bouyea</t>
  </si>
  <si>
    <t>San Francisco</t>
  </si>
  <si>
    <t>Tony</t>
  </si>
  <si>
    <t>Malaki</t>
  </si>
  <si>
    <t>Branham</t>
  </si>
  <si>
    <t>Jarrell</t>
  </si>
  <si>
    <t>Brantley</t>
  </si>
  <si>
    <t>College of Charleston</t>
  </si>
  <si>
    <t>Christian</t>
  </si>
  <si>
    <t>Braun</t>
  </si>
  <si>
    <t>Mikal</t>
  </si>
  <si>
    <t>Bridges</t>
  </si>
  <si>
    <t>Oshae</t>
  </si>
  <si>
    <t>Brissett</t>
  </si>
  <si>
    <t>Malcolm</t>
  </si>
  <si>
    <t>Brogdon</t>
  </si>
  <si>
    <t>Virginia</t>
  </si>
  <si>
    <t>Dillon</t>
  </si>
  <si>
    <t>Brooks</t>
  </si>
  <si>
    <t>Bruce</t>
  </si>
  <si>
    <t>Brown</t>
  </si>
  <si>
    <t>Miami</t>
  </si>
  <si>
    <t>Jaylen</t>
  </si>
  <si>
    <t>California</t>
  </si>
  <si>
    <t>Kendall</t>
  </si>
  <si>
    <t>Baylor</t>
  </si>
  <si>
    <t>Moses</t>
  </si>
  <si>
    <t>Sterling</t>
  </si>
  <si>
    <t>Southern Methodist</t>
  </si>
  <si>
    <t>Greg</t>
  </si>
  <si>
    <t>Brown III</t>
  </si>
  <si>
    <t>Troy</t>
  </si>
  <si>
    <t>Brown Jr.</t>
  </si>
  <si>
    <t>Jalen</t>
  </si>
  <si>
    <t>Brunson</t>
  </si>
  <si>
    <t>Thomas</t>
  </si>
  <si>
    <t>Bryant</t>
  </si>
  <si>
    <t>Reggie</t>
  </si>
  <si>
    <t>Bullock</t>
  </si>
  <si>
    <t>Alec</t>
  </si>
  <si>
    <t>Burks</t>
  </si>
  <si>
    <t>Colorado</t>
  </si>
  <si>
    <t>Deonte</t>
  </si>
  <si>
    <t>Burton</t>
  </si>
  <si>
    <t>Iowa State</t>
  </si>
  <si>
    <t>Jared</t>
  </si>
  <si>
    <t>Butler</t>
  </si>
  <si>
    <t>Jimmy</t>
  </si>
  <si>
    <t>Marquette</t>
  </si>
  <si>
    <t>John</t>
  </si>
  <si>
    <t>Butler Jr.</t>
  </si>
  <si>
    <t>Jamal</t>
  </si>
  <si>
    <t>Cain</t>
  </si>
  <si>
    <t>Oakland</t>
  </si>
  <si>
    <t>Kentavious</t>
  </si>
  <si>
    <t>Caldwell-Pope</t>
  </si>
  <si>
    <t>Facundo</t>
  </si>
  <si>
    <t>Campazzo</t>
  </si>
  <si>
    <t>Vlatko</t>
  </si>
  <si>
    <t>Cancar</t>
  </si>
  <si>
    <t>Slovenia</t>
  </si>
  <si>
    <t>San Pablo Burgos</t>
  </si>
  <si>
    <t>Clint</t>
  </si>
  <si>
    <t>Capela</t>
  </si>
  <si>
    <t>Switzerland</t>
  </si>
  <si>
    <t>Elan Chalon</t>
  </si>
  <si>
    <t>Vernon</t>
  </si>
  <si>
    <t>Carey Jr.</t>
  </si>
  <si>
    <t>Jevon</t>
  </si>
  <si>
    <t>Carter</t>
  </si>
  <si>
    <t>West Virginia</t>
  </si>
  <si>
    <t>Wendell</t>
  </si>
  <si>
    <t>Carter Jr.</t>
  </si>
  <si>
    <t>Michael</t>
  </si>
  <si>
    <t>Carter-Williams</t>
  </si>
  <si>
    <t>Alex</t>
  </si>
  <si>
    <t>Caruso</t>
  </si>
  <si>
    <t>Texas A&amp;M</t>
  </si>
  <si>
    <t>Willie</t>
  </si>
  <si>
    <t>Cauley-Stein</t>
  </si>
  <si>
    <t>Julian</t>
  </si>
  <si>
    <t>Champagnie</t>
  </si>
  <si>
    <t>St. John's</t>
  </si>
  <si>
    <t>Justin</t>
  </si>
  <si>
    <t>Kennedy</t>
  </si>
  <si>
    <t>Chandler</t>
  </si>
  <si>
    <t>Tennessee</t>
  </si>
  <si>
    <t>Max</t>
  </si>
  <si>
    <t>Christie</t>
  </si>
  <si>
    <t>Michigan State</t>
  </si>
  <si>
    <t>Josh</t>
  </si>
  <si>
    <t>Christopher</t>
  </si>
  <si>
    <t>Arizona State</t>
  </si>
  <si>
    <t>Clarke</t>
  </si>
  <si>
    <t>Gonzaga</t>
  </si>
  <si>
    <t>Jordan</t>
  </si>
  <si>
    <t>Clarkson</t>
  </si>
  <si>
    <t>Missouri</t>
  </si>
  <si>
    <t>Nic</t>
  </si>
  <si>
    <t>Claxton</t>
  </si>
  <si>
    <t>Amir</t>
  </si>
  <si>
    <t>Coffey</t>
  </si>
  <si>
    <t>Minnesota</t>
  </si>
  <si>
    <t>Collins</t>
  </si>
  <si>
    <t>Wake Forest</t>
  </si>
  <si>
    <t>Zach</t>
  </si>
  <si>
    <t>Chance</t>
  </si>
  <si>
    <t>Comanche</t>
  </si>
  <si>
    <t>Mike</t>
  </si>
  <si>
    <t>Conley</t>
  </si>
  <si>
    <t>Pat</t>
  </si>
  <si>
    <t>Connaughton</t>
  </si>
  <si>
    <t>Notre Dame</t>
  </si>
  <si>
    <t>Xavier</t>
  </si>
  <si>
    <t>Cooks</t>
  </si>
  <si>
    <t>Australia</t>
  </si>
  <si>
    <t>Winthrop</t>
  </si>
  <si>
    <t>Robert</t>
  </si>
  <si>
    <t>Covington</t>
  </si>
  <si>
    <t>Tennessee State</t>
  </si>
  <si>
    <t>Torrey</t>
  </si>
  <si>
    <t>Craig</t>
  </si>
  <si>
    <t>South Carolina Upstate</t>
  </si>
  <si>
    <t>Jae</t>
  </si>
  <si>
    <t>Crowder</t>
  </si>
  <si>
    <t>Culver</t>
  </si>
  <si>
    <t>Texas Tech</t>
  </si>
  <si>
    <t>Cade</t>
  </si>
  <si>
    <t>Cunningham</t>
  </si>
  <si>
    <t>Oklahoma State</t>
  </si>
  <si>
    <t>Seth</t>
  </si>
  <si>
    <t>Curry</t>
  </si>
  <si>
    <t>Stephen</t>
  </si>
  <si>
    <t>Davidson</t>
  </si>
  <si>
    <t>Dyson</t>
  </si>
  <si>
    <t>Daniels</t>
  </si>
  <si>
    <t>Johnny</t>
  </si>
  <si>
    <t>Wisconsin</t>
  </si>
  <si>
    <t>Terence</t>
  </si>
  <si>
    <t>Mississippi</t>
  </si>
  <si>
    <t>JD</t>
  </si>
  <si>
    <t>Davison</t>
  </si>
  <si>
    <t>Alabama</t>
  </si>
  <si>
    <t>Days</t>
  </si>
  <si>
    <t>Louisiana State</t>
  </si>
  <si>
    <t>DeMar</t>
  </si>
  <si>
    <t>DeRozan</t>
  </si>
  <si>
    <t>Southern California</t>
  </si>
  <si>
    <t>Dewayne</t>
  </si>
  <si>
    <t>Dedmon</t>
  </si>
  <si>
    <t>Matthew</t>
  </si>
  <si>
    <t>Dellavedova</t>
  </si>
  <si>
    <t>Donte</t>
  </si>
  <si>
    <t>DiVincenzo</t>
  </si>
  <si>
    <t>Moussa</t>
  </si>
  <si>
    <t>Diabate</t>
  </si>
  <si>
    <t>Michigan</t>
  </si>
  <si>
    <t>Mamadi</t>
  </si>
  <si>
    <t>Diakite</t>
  </si>
  <si>
    <t>Guinea</t>
  </si>
  <si>
    <t>Hamidou</t>
  </si>
  <si>
    <t>Diallo</t>
  </si>
  <si>
    <t>Gorgui</t>
  </si>
  <si>
    <t>Dieng</t>
  </si>
  <si>
    <t>Louisville</t>
  </si>
  <si>
    <t>Ousmane</t>
  </si>
  <si>
    <t>New Zealand Breakers</t>
  </si>
  <si>
    <t>Spencer</t>
  </si>
  <si>
    <t>Dinwiddie</t>
  </si>
  <si>
    <t>Luka</t>
  </si>
  <si>
    <t>Doncic</t>
  </si>
  <si>
    <t>Real Madrid</t>
  </si>
  <si>
    <t>Tyler</t>
  </si>
  <si>
    <t>Dorsey</t>
  </si>
  <si>
    <t>Luguentz</t>
  </si>
  <si>
    <t>Dort</t>
  </si>
  <si>
    <t>Ayo</t>
  </si>
  <si>
    <t>Dosunmu</t>
  </si>
  <si>
    <t>Illinois</t>
  </si>
  <si>
    <t>Devon</t>
  </si>
  <si>
    <t>Dotson</t>
  </si>
  <si>
    <t>Jeff</t>
  </si>
  <si>
    <t>Dowtin Jr.</t>
  </si>
  <si>
    <t>Rhode Island</t>
  </si>
  <si>
    <t>PJ</t>
  </si>
  <si>
    <t>Dozier</t>
  </si>
  <si>
    <t>South Carolina</t>
  </si>
  <si>
    <t>Goran</t>
  </si>
  <si>
    <t>Dragic</t>
  </si>
  <si>
    <t>Union Olimpija</t>
  </si>
  <si>
    <t>Andre</t>
  </si>
  <si>
    <t>Drummond</t>
  </si>
  <si>
    <t>Duarte</t>
  </si>
  <si>
    <t>Dominican Republic</t>
  </si>
  <si>
    <t>David</t>
  </si>
  <si>
    <t>Duke Jr.</t>
  </si>
  <si>
    <t>Providence</t>
  </si>
  <si>
    <t>Kris</t>
  </si>
  <si>
    <t>Dunn</t>
  </si>
  <si>
    <t>Kevin</t>
  </si>
  <si>
    <t>Durant</t>
  </si>
  <si>
    <t>Duren</t>
  </si>
  <si>
    <t>Tari</t>
  </si>
  <si>
    <t>Eason</t>
  </si>
  <si>
    <t>Edwards</t>
  </si>
  <si>
    <t>Kessler</t>
  </si>
  <si>
    <t>Pepperdine</t>
  </si>
  <si>
    <t>Keon</t>
  </si>
  <si>
    <t>Ellis</t>
  </si>
  <si>
    <t>Joel</t>
  </si>
  <si>
    <t>Embiid</t>
  </si>
  <si>
    <t>Cameroon</t>
  </si>
  <si>
    <t>Drew</t>
  </si>
  <si>
    <t>Eubanks</t>
  </si>
  <si>
    <t>Oregon State</t>
  </si>
  <si>
    <t>Derrick</t>
  </si>
  <si>
    <t>Favors</t>
  </si>
  <si>
    <t>Bruno</t>
  </si>
  <si>
    <t>Fernando</t>
  </si>
  <si>
    <t>Angola</t>
  </si>
  <si>
    <t>Maryland</t>
  </si>
  <si>
    <t>Dorian</t>
  </si>
  <si>
    <t>Finney-Smith</t>
  </si>
  <si>
    <t>Malachi</t>
  </si>
  <si>
    <t>Flynn</t>
  </si>
  <si>
    <t>San Diego State</t>
  </si>
  <si>
    <t>Simone</t>
  </si>
  <si>
    <t>Fontecchio</t>
  </si>
  <si>
    <t>Italy</t>
  </si>
  <si>
    <t>Bryn</t>
  </si>
  <si>
    <t>Forbes</t>
  </si>
  <si>
    <t>Trent</t>
  </si>
  <si>
    <t>Forrest</t>
  </si>
  <si>
    <t>Foster Jr.</t>
  </si>
  <si>
    <t>Evan</t>
  </si>
  <si>
    <t>Fournier</t>
  </si>
  <si>
    <t>Poitiers Basket 86</t>
  </si>
  <si>
    <t>De'Aaron</t>
  </si>
  <si>
    <t>Fox</t>
  </si>
  <si>
    <t>Markelle</t>
  </si>
  <si>
    <t>Fultz</t>
  </si>
  <si>
    <t>Washington</t>
  </si>
  <si>
    <t>Wenyen</t>
  </si>
  <si>
    <t>Gabriel</t>
  </si>
  <si>
    <t>South Sudan</t>
  </si>
  <si>
    <t>Daniel</t>
  </si>
  <si>
    <t>Gafford</t>
  </si>
  <si>
    <t>Garland</t>
  </si>
  <si>
    <t>Vanderbilt</t>
  </si>
  <si>
    <t>Usman</t>
  </si>
  <si>
    <t>Garuba</t>
  </si>
  <si>
    <t>Garza</t>
  </si>
  <si>
    <t>Iowa</t>
  </si>
  <si>
    <t>Rudy</t>
  </si>
  <si>
    <t>Gay</t>
  </si>
  <si>
    <t>Paul</t>
  </si>
  <si>
    <t>George</t>
  </si>
  <si>
    <t>Fresno State</t>
  </si>
  <si>
    <t>Taj</t>
  </si>
  <si>
    <t>Gibson</t>
  </si>
  <si>
    <t>Giddey</t>
  </si>
  <si>
    <t>NBA Global Academy</t>
  </si>
  <si>
    <t>Shai</t>
  </si>
  <si>
    <t>Gilgeous-Alexander</t>
  </si>
  <si>
    <t>Gill</t>
  </si>
  <si>
    <t>Jacob</t>
  </si>
  <si>
    <t>Gilyard</t>
  </si>
  <si>
    <t>Richmond</t>
  </si>
  <si>
    <t>Gobert</t>
  </si>
  <si>
    <t>Cholet</t>
  </si>
  <si>
    <t>Goodwin</t>
  </si>
  <si>
    <t>St. Louis</t>
  </si>
  <si>
    <t>Aaron</t>
  </si>
  <si>
    <t>Gordon</t>
  </si>
  <si>
    <t>Eric</t>
  </si>
  <si>
    <t>Devonte'</t>
  </si>
  <si>
    <t>Graham</t>
  </si>
  <si>
    <t>Jerami</t>
  </si>
  <si>
    <t>Grant</t>
  </si>
  <si>
    <t>RaiQuan</t>
  </si>
  <si>
    <t>Gray</t>
  </si>
  <si>
    <t>AJ</t>
  </si>
  <si>
    <t>Green</t>
  </si>
  <si>
    <t>Northern Iowa</t>
  </si>
  <si>
    <t>Danny</t>
  </si>
  <si>
    <t>Draymond</t>
  </si>
  <si>
    <t>JaMychal</t>
  </si>
  <si>
    <t>Javonte</t>
  </si>
  <si>
    <t>Radford</t>
  </si>
  <si>
    <t>Georgetown</t>
  </si>
  <si>
    <t>Griffin</t>
  </si>
  <si>
    <t>Blake</t>
  </si>
  <si>
    <t>Oklahoma</t>
  </si>
  <si>
    <t>Quentin</t>
  </si>
  <si>
    <t>Grimes</t>
  </si>
  <si>
    <t>Houston</t>
  </si>
  <si>
    <t>Rui</t>
  </si>
  <si>
    <t>Hachimura</t>
  </si>
  <si>
    <t>Japan</t>
  </si>
  <si>
    <t>Tyrese</t>
  </si>
  <si>
    <t>Haliburton</t>
  </si>
  <si>
    <t>Hall</t>
  </si>
  <si>
    <t>Saint Joseph's</t>
  </si>
  <si>
    <t>R.J.</t>
  </si>
  <si>
    <t>Hampton</t>
  </si>
  <si>
    <t>Tim</t>
  </si>
  <si>
    <t>Hardaway Jr.</t>
  </si>
  <si>
    <t>Harden</t>
  </si>
  <si>
    <t>Jaden</t>
  </si>
  <si>
    <t>Hardy</t>
  </si>
  <si>
    <t>Ron</t>
  </si>
  <si>
    <t>Harper Jr.</t>
  </si>
  <si>
    <t>Rutgers</t>
  </si>
  <si>
    <t>Montrezl</t>
  </si>
  <si>
    <t>Harrell</t>
  </si>
  <si>
    <t>Gary</t>
  </si>
  <si>
    <t>Harris</t>
  </si>
  <si>
    <t>Joe</t>
  </si>
  <si>
    <t>Kevon</t>
  </si>
  <si>
    <t>Stephen F. Austin</t>
  </si>
  <si>
    <t>Tobias</t>
  </si>
  <si>
    <t>Shaquille</t>
  </si>
  <si>
    <t>Tulsa</t>
  </si>
  <si>
    <t>Hart</t>
  </si>
  <si>
    <t>Isaiah</t>
  </si>
  <si>
    <t>Hartenstein</t>
  </si>
  <si>
    <t>Germany</t>
  </si>
  <si>
    <t>Zalgiris</t>
  </si>
  <si>
    <t>Udonis</t>
  </si>
  <si>
    <t>Haslem</t>
  </si>
  <si>
    <t>Sam</t>
  </si>
  <si>
    <t>Hauser</t>
  </si>
  <si>
    <t>Jaxson</t>
  </si>
  <si>
    <t>Hayes</t>
  </si>
  <si>
    <t>Killian</t>
  </si>
  <si>
    <t>Ratiopharm Ulm</t>
  </si>
  <si>
    <t>Hayward</t>
  </si>
  <si>
    <t>Juancho</t>
  </si>
  <si>
    <t>Hernangomez</t>
  </si>
  <si>
    <t>Willy</t>
  </si>
  <si>
    <t>Cajasol Sevilla</t>
  </si>
  <si>
    <t>Herro</t>
  </si>
  <si>
    <t>Hield</t>
  </si>
  <si>
    <t>Haywood</t>
  </si>
  <si>
    <t>Highsmith</t>
  </si>
  <si>
    <t>Wheeling Jesuit</t>
  </si>
  <si>
    <t>Hill</t>
  </si>
  <si>
    <t>Indiana-Purdue Indianapolis</t>
  </si>
  <si>
    <t>Holiday</t>
  </si>
  <si>
    <t>Jrue</t>
  </si>
  <si>
    <t>Richaun</t>
  </si>
  <si>
    <t>Holmes</t>
  </si>
  <si>
    <t>Bowling Green</t>
  </si>
  <si>
    <t>Al</t>
  </si>
  <si>
    <t>Horford</t>
  </si>
  <si>
    <t>Talen</t>
  </si>
  <si>
    <t>Horton-Tucker</t>
  </si>
  <si>
    <t>Danuel</t>
  </si>
  <si>
    <t>House Jr.</t>
  </si>
  <si>
    <t>Caleb</t>
  </si>
  <si>
    <t>Houstan</t>
  </si>
  <si>
    <t>Trevor</t>
  </si>
  <si>
    <t>Hudgins</t>
  </si>
  <si>
    <t>Northwest Missouri State</t>
  </si>
  <si>
    <t>Huerter</t>
  </si>
  <si>
    <t>Jay</t>
  </si>
  <si>
    <t>Huff</t>
  </si>
  <si>
    <t>Feron</t>
  </si>
  <si>
    <t>Hunt</t>
  </si>
  <si>
    <t>De'Andre</t>
  </si>
  <si>
    <t>Hunter</t>
  </si>
  <si>
    <t>Bones</t>
  </si>
  <si>
    <t>Hyland</t>
  </si>
  <si>
    <t>Virginia Commonwealth</t>
  </si>
  <si>
    <t>Serge</t>
  </si>
  <si>
    <t>Ibaka</t>
  </si>
  <si>
    <t>Democratic Republic of the Congo</t>
  </si>
  <si>
    <t>Iguodala</t>
  </si>
  <si>
    <t>Ingles</t>
  </si>
  <si>
    <t>Ingram</t>
  </si>
  <si>
    <t>Kyrie</t>
  </si>
  <si>
    <t>Irving</t>
  </si>
  <si>
    <t>Jonathan</t>
  </si>
  <si>
    <t>Isaac</t>
  </si>
  <si>
    <t>Ivey</t>
  </si>
  <si>
    <t>Purdue</t>
  </si>
  <si>
    <t>Frank</t>
  </si>
  <si>
    <t>Jackson</t>
  </si>
  <si>
    <t>Quenton</t>
  </si>
  <si>
    <t>Boston College</t>
  </si>
  <si>
    <t>Jaren</t>
  </si>
  <si>
    <t>Jackson Jr.</t>
  </si>
  <si>
    <t>LeBron</t>
  </si>
  <si>
    <t>St. Vincent-St. Mary HS (OH)</t>
  </si>
  <si>
    <t>DaQuan</t>
  </si>
  <si>
    <t>Jeffries</t>
  </si>
  <si>
    <t>Ty</t>
  </si>
  <si>
    <t>Jerome</t>
  </si>
  <si>
    <t>Alize</t>
  </si>
  <si>
    <t>Johnson</t>
  </si>
  <si>
    <t>Missouri State</t>
  </si>
  <si>
    <t>Cameron</t>
  </si>
  <si>
    <t>Keldon</t>
  </si>
  <si>
    <t>Stanley</t>
  </si>
  <si>
    <t>Nikola</t>
  </si>
  <si>
    <t>Jokic</t>
  </si>
  <si>
    <t>Carlik</t>
  </si>
  <si>
    <t>Jones</t>
  </si>
  <si>
    <t>Damian</t>
  </si>
  <si>
    <t>Herbert</t>
  </si>
  <si>
    <t>Kai</t>
  </si>
  <si>
    <t>Tre</t>
  </si>
  <si>
    <t>Tyus</t>
  </si>
  <si>
    <t>Jones Jr.</t>
  </si>
  <si>
    <t>DeAndre</t>
  </si>
  <si>
    <t>Cory</t>
  </si>
  <si>
    <t>Joseph</t>
  </si>
  <si>
    <t>Jovic</t>
  </si>
  <si>
    <t>Juzang</t>
  </si>
  <si>
    <t>Mfiondu</t>
  </si>
  <si>
    <t>Kabengele</t>
  </si>
  <si>
    <t>Kaminsky</t>
  </si>
  <si>
    <t>Keels</t>
  </si>
  <si>
    <t>Luke</t>
  </si>
  <si>
    <t>Kennard</t>
  </si>
  <si>
    <t>Walker</t>
  </si>
  <si>
    <t>Auburn</t>
  </si>
  <si>
    <t>Braxton</t>
  </si>
  <si>
    <t>Key</t>
  </si>
  <si>
    <t>Louis</t>
  </si>
  <si>
    <t>King</t>
  </si>
  <si>
    <t>Corey</t>
  </si>
  <si>
    <t>Kispert</t>
  </si>
  <si>
    <t>Maxi</t>
  </si>
  <si>
    <t>Kleber</t>
  </si>
  <si>
    <t>Bayern Munich</t>
  </si>
  <si>
    <t>Nathan</t>
  </si>
  <si>
    <t>Knight</t>
  </si>
  <si>
    <t>William &amp; Mary</t>
  </si>
  <si>
    <t>Knox II</t>
  </si>
  <si>
    <t>Koloko</t>
  </si>
  <si>
    <t>Konchar</t>
  </si>
  <si>
    <t>Indiana-Purdue Fort Wayne</t>
  </si>
  <si>
    <t>Furkan</t>
  </si>
  <si>
    <t>Korkmaz</t>
  </si>
  <si>
    <t>Turkey</t>
  </si>
  <si>
    <t>Anadolu Efes</t>
  </si>
  <si>
    <t>Kornet</t>
  </si>
  <si>
    <t>Vit</t>
  </si>
  <si>
    <t>Krejci</t>
  </si>
  <si>
    <t>Czech Republic</t>
  </si>
  <si>
    <t>Zaragoza</t>
  </si>
  <si>
    <t>Kuminga</t>
  </si>
  <si>
    <t>Kuzma</t>
  </si>
  <si>
    <t>Utah</t>
  </si>
  <si>
    <t>Jake</t>
  </si>
  <si>
    <t>LaRavia</t>
  </si>
  <si>
    <t>LaVine</t>
  </si>
  <si>
    <t>Lamb</t>
  </si>
  <si>
    <t>Vermont</t>
  </si>
  <si>
    <t>Jock</t>
  </si>
  <si>
    <t>Landale</t>
  </si>
  <si>
    <t>St. Mary's</t>
  </si>
  <si>
    <t>Romeo</t>
  </si>
  <si>
    <t>Langford</t>
  </si>
  <si>
    <t>A.J.</t>
  </si>
  <si>
    <t>Lawson</t>
  </si>
  <si>
    <t>Caris</t>
  </si>
  <si>
    <t>LeVert</t>
  </si>
  <si>
    <t>Damion</t>
  </si>
  <si>
    <t>Lee</t>
  </si>
  <si>
    <t>Drexel</t>
  </si>
  <si>
    <t>Saben</t>
  </si>
  <si>
    <t>Len</t>
  </si>
  <si>
    <t>Ukraine</t>
  </si>
  <si>
    <t>Kawhi</t>
  </si>
  <si>
    <t>Leonard</t>
  </si>
  <si>
    <t>Meyers</t>
  </si>
  <si>
    <t>Kira</t>
  </si>
  <si>
    <t>Lewis Jr.</t>
  </si>
  <si>
    <t>E.J.</t>
  </si>
  <si>
    <t>Liddell</t>
  </si>
  <si>
    <t>Lillard</t>
  </si>
  <si>
    <t>Weber State</t>
  </si>
  <si>
    <t>Nassir</t>
  </si>
  <si>
    <t>Little</t>
  </si>
  <si>
    <t>Livers</t>
  </si>
  <si>
    <t>Kenneth</t>
  </si>
  <si>
    <t>Lofton Jr.</t>
  </si>
  <si>
    <t>Louisiana Tech</t>
  </si>
  <si>
    <t>Looney</t>
  </si>
  <si>
    <t>Brook</t>
  </si>
  <si>
    <t>Lopez</t>
  </si>
  <si>
    <t>Stanford</t>
  </si>
  <si>
    <t>Robin</t>
  </si>
  <si>
    <t>Love</t>
  </si>
  <si>
    <t>Lowry</t>
  </si>
  <si>
    <t>Trey</t>
  </si>
  <si>
    <t>Lyles</t>
  </si>
  <si>
    <t>Theo</t>
  </si>
  <si>
    <t>Maledon</t>
  </si>
  <si>
    <t>Asvel</t>
  </si>
  <si>
    <t>Sandro</t>
  </si>
  <si>
    <t>Mamukelashvili</t>
  </si>
  <si>
    <t>Seton Hall</t>
  </si>
  <si>
    <t>Terance</t>
  </si>
  <si>
    <t>Mann</t>
  </si>
  <si>
    <t>Boban</t>
  </si>
  <si>
    <t>Marjanovic</t>
  </si>
  <si>
    <t>Lauri</t>
  </si>
  <si>
    <t>Markkanen</t>
  </si>
  <si>
    <t>Finland</t>
  </si>
  <si>
    <t>Naji</t>
  </si>
  <si>
    <t>Marshall</t>
  </si>
  <si>
    <t>Martin</t>
  </si>
  <si>
    <t>Nevada</t>
  </si>
  <si>
    <t>Cody</t>
  </si>
  <si>
    <t>Kenyon</t>
  </si>
  <si>
    <t>Martin Jr.</t>
  </si>
  <si>
    <t>IMG Academy (FL)</t>
  </si>
  <si>
    <t>Garrison</t>
  </si>
  <si>
    <t>Mathews</t>
  </si>
  <si>
    <t>Lipscomb</t>
  </si>
  <si>
    <t>Bennedict</t>
  </si>
  <si>
    <t>Mathurin</t>
  </si>
  <si>
    <t>Wesley</t>
  </si>
  <si>
    <t>Matthews</t>
  </si>
  <si>
    <t>Maxey</t>
  </si>
  <si>
    <t>Skylar</t>
  </si>
  <si>
    <t>Mays</t>
  </si>
  <si>
    <t>Miles</t>
  </si>
  <si>
    <t>McBride</t>
  </si>
  <si>
    <t>Mac</t>
  </si>
  <si>
    <t>McClung</t>
  </si>
  <si>
    <t>CJ</t>
  </si>
  <si>
    <t>McCollum</t>
  </si>
  <si>
    <t>Lehigh</t>
  </si>
  <si>
    <t>T.J.</t>
  </si>
  <si>
    <t>McConnell</t>
  </si>
  <si>
    <t>McDaniels</t>
  </si>
  <si>
    <t>Doug</t>
  </si>
  <si>
    <t>McDermott</t>
  </si>
  <si>
    <t>Creighton</t>
  </si>
  <si>
    <t>JaVale</t>
  </si>
  <si>
    <t>McGee</t>
  </si>
  <si>
    <t>Bryce</t>
  </si>
  <si>
    <t>McGowens</t>
  </si>
  <si>
    <t>Rodney</t>
  </si>
  <si>
    <t>McGruder</t>
  </si>
  <si>
    <t>Kansas State</t>
  </si>
  <si>
    <t>McLaughlin</t>
  </si>
  <si>
    <t>De'Anthony</t>
  </si>
  <si>
    <t>Melton</t>
  </si>
  <si>
    <t>Merrill</t>
  </si>
  <si>
    <t>Utah State</t>
  </si>
  <si>
    <t>Chimezie</t>
  </si>
  <si>
    <t>Metu</t>
  </si>
  <si>
    <t>Khris</t>
  </si>
  <si>
    <t>Middleton</t>
  </si>
  <si>
    <t>Patty</t>
  </si>
  <si>
    <t>Mills</t>
  </si>
  <si>
    <t>Shake</t>
  </si>
  <si>
    <t>Milton</t>
  </si>
  <si>
    <t>Minaya</t>
  </si>
  <si>
    <t>Minott</t>
  </si>
  <si>
    <t>Davion</t>
  </si>
  <si>
    <t>Mitchell</t>
  </si>
  <si>
    <t>Donovan</t>
  </si>
  <si>
    <t>Mobley</t>
  </si>
  <si>
    <t>Chima</t>
  </si>
  <si>
    <t>Moneke</t>
  </si>
  <si>
    <t>Cal-Davis</t>
  </si>
  <si>
    <t>Monk</t>
  </si>
  <si>
    <t>Moody</t>
  </si>
  <si>
    <t>Moon</t>
  </si>
  <si>
    <t>Morehead State</t>
  </si>
  <si>
    <t>Moore Jr.</t>
  </si>
  <si>
    <t>Ja</t>
  </si>
  <si>
    <t>Morant</t>
  </si>
  <si>
    <t>Murray State</t>
  </si>
  <si>
    <t>Markieff</t>
  </si>
  <si>
    <t>Morris</t>
  </si>
  <si>
    <t>Monte</t>
  </si>
  <si>
    <t>Marcus</t>
  </si>
  <si>
    <t>Morris Sr.</t>
  </si>
  <si>
    <t>Murphy III</t>
  </si>
  <si>
    <t>Dejounte</t>
  </si>
  <si>
    <t>Murray</t>
  </si>
  <si>
    <t>Keegan</t>
  </si>
  <si>
    <t>Muscala</t>
  </si>
  <si>
    <t>Bucknell</t>
  </si>
  <si>
    <t>Svi</t>
  </si>
  <si>
    <t>Mykhailiuk</t>
  </si>
  <si>
    <t>Larry</t>
  </si>
  <si>
    <t>Nance Jr.</t>
  </si>
  <si>
    <t>Wyoming</t>
  </si>
  <si>
    <t>Andrew</t>
  </si>
  <si>
    <t>Nembhard</t>
  </si>
  <si>
    <t>Nesmith</t>
  </si>
  <si>
    <t>Raul</t>
  </si>
  <si>
    <t>Neto</t>
  </si>
  <si>
    <t>Brazil</t>
  </si>
  <si>
    <t>Murcia</t>
  </si>
  <si>
    <t>Georges</t>
  </si>
  <si>
    <t>Niang</t>
  </si>
  <si>
    <t>Daishen</t>
  </si>
  <si>
    <t>Nix</t>
  </si>
  <si>
    <t>Zeke</t>
  </si>
  <si>
    <t>Nnaji</t>
  </si>
  <si>
    <t>Nerlens</t>
  </si>
  <si>
    <t>Noel</t>
  </si>
  <si>
    <t>Nowell</t>
  </si>
  <si>
    <t>Ntilikina</t>
  </si>
  <si>
    <t>Strasbourg IG</t>
  </si>
  <si>
    <t>Kendrick</t>
  </si>
  <si>
    <t>Nunn</t>
  </si>
  <si>
    <t>Jusuf</t>
  </si>
  <si>
    <t>Nurkic</t>
  </si>
  <si>
    <t>Bosnia and Herzegovina</t>
  </si>
  <si>
    <t>Cedevita</t>
  </si>
  <si>
    <t>Nwora</t>
  </si>
  <si>
    <t>Royce</t>
  </si>
  <si>
    <t>O'Neale</t>
  </si>
  <si>
    <t>Chuma</t>
  </si>
  <si>
    <t>Okeke</t>
  </si>
  <si>
    <t>Okogie</t>
  </si>
  <si>
    <t>Onyeka</t>
  </si>
  <si>
    <t>Okongwu</t>
  </si>
  <si>
    <t>Okoro</t>
  </si>
  <si>
    <t>KZ</t>
  </si>
  <si>
    <t>Okpala</t>
  </si>
  <si>
    <t>Victor</t>
  </si>
  <si>
    <t>Oladipo</t>
  </si>
  <si>
    <t>Kelly</t>
  </si>
  <si>
    <t>Olynyk</t>
  </si>
  <si>
    <t>Eugene</t>
  </si>
  <si>
    <t>Omoruyi</t>
  </si>
  <si>
    <t>Cedi</t>
  </si>
  <si>
    <t>Osman</t>
  </si>
  <si>
    <t>Oubre Jr.</t>
  </si>
  <si>
    <t>Payne</t>
  </si>
  <si>
    <t>Payton II</t>
  </si>
  <si>
    <t>Pinson</t>
  </si>
  <si>
    <t>Scotty</t>
  </si>
  <si>
    <t>Pippen Jr.</t>
  </si>
  <si>
    <t>Mason</t>
  </si>
  <si>
    <t>Plumlee</t>
  </si>
  <si>
    <t>Jakob</t>
  </si>
  <si>
    <t>Poeltl</t>
  </si>
  <si>
    <t>Austria</t>
  </si>
  <si>
    <t>Aleksej</t>
  </si>
  <si>
    <t>Pokusevski</t>
  </si>
  <si>
    <t>Olympiacos</t>
  </si>
  <si>
    <t>Poole</t>
  </si>
  <si>
    <t>Porter Jr.</t>
  </si>
  <si>
    <t>Otto</t>
  </si>
  <si>
    <t>Bobby</t>
  </si>
  <si>
    <t>Portis</t>
  </si>
  <si>
    <t>Kristaps</t>
  </si>
  <si>
    <t>Porzingis</t>
  </si>
  <si>
    <t>Micah</t>
  </si>
  <si>
    <t>Potter</t>
  </si>
  <si>
    <t>Dwight</t>
  </si>
  <si>
    <t>Powell</t>
  </si>
  <si>
    <t>Norman</t>
  </si>
  <si>
    <t>Jason</t>
  </si>
  <si>
    <t>Preston</t>
  </si>
  <si>
    <t>Ohio</t>
  </si>
  <si>
    <t>Joshua</t>
  </si>
  <si>
    <t>Primo</t>
  </si>
  <si>
    <t>Taurean</t>
  </si>
  <si>
    <t>Prince</t>
  </si>
  <si>
    <t>Payton</t>
  </si>
  <si>
    <t>Pritchard</t>
  </si>
  <si>
    <t>Trevelin</t>
  </si>
  <si>
    <t>Queen</t>
  </si>
  <si>
    <t>New Mexico State</t>
  </si>
  <si>
    <t>Neemias</t>
  </si>
  <si>
    <t>Queta</t>
  </si>
  <si>
    <t>Portugal</t>
  </si>
  <si>
    <t>Immanuel</t>
  </si>
  <si>
    <t>Quickley</t>
  </si>
  <si>
    <t>Lester</t>
  </si>
  <si>
    <t>Quinones</t>
  </si>
  <si>
    <t>Julius</t>
  </si>
  <si>
    <t>Randle</t>
  </si>
  <si>
    <t>Austin</t>
  </si>
  <si>
    <t>Reaves</t>
  </si>
  <si>
    <t>Cam</t>
  </si>
  <si>
    <t>Reddish</t>
  </si>
  <si>
    <t>Davon</t>
  </si>
  <si>
    <t>Reed</t>
  </si>
  <si>
    <t>DePaul</t>
  </si>
  <si>
    <t>Naz</t>
  </si>
  <si>
    <t>Reid</t>
  </si>
  <si>
    <t>Rhoden</t>
  </si>
  <si>
    <t>Nick</t>
  </si>
  <si>
    <t>Richards</t>
  </si>
  <si>
    <t>Jamaica</t>
  </si>
  <si>
    <t>Richardson</t>
  </si>
  <si>
    <t>Rivers</t>
  </si>
  <si>
    <t>Duncan</t>
  </si>
  <si>
    <t>Robinson</t>
  </si>
  <si>
    <t>Orlando</t>
  </si>
  <si>
    <t>Jeremiah</t>
  </si>
  <si>
    <t>Robinson-Earl</t>
  </si>
  <si>
    <t>Roby</t>
  </si>
  <si>
    <t>Roddy</t>
  </si>
  <si>
    <t>Colorado State</t>
  </si>
  <si>
    <t>Rollins</t>
  </si>
  <si>
    <t>Toledo</t>
  </si>
  <si>
    <t>Rose</t>
  </si>
  <si>
    <t>Terrence</t>
  </si>
  <si>
    <t>Ross</t>
  </si>
  <si>
    <t>Terry</t>
  </si>
  <si>
    <t>Rozier</t>
  </si>
  <si>
    <t>Ricky</t>
  </si>
  <si>
    <t>Rubio</t>
  </si>
  <si>
    <t>D'Angelo</t>
  </si>
  <si>
    <t>Russell</t>
  </si>
  <si>
    <t>Matt</t>
  </si>
  <si>
    <t>Tennessee-Chattanooga</t>
  </si>
  <si>
    <t>Domantas</t>
  </si>
  <si>
    <t>Sabonis</t>
  </si>
  <si>
    <t>Lithuania</t>
  </si>
  <si>
    <t>Samanic</t>
  </si>
  <si>
    <t>Dario</t>
  </si>
  <si>
    <t>Saric</t>
  </si>
  <si>
    <t>Olivier</t>
  </si>
  <si>
    <t>Sarr</t>
  </si>
  <si>
    <t>Schakel</t>
  </si>
  <si>
    <t>Admiral</t>
  </si>
  <si>
    <t>Schofield</t>
  </si>
  <si>
    <t>Dennis</t>
  </si>
  <si>
    <t>Schroder</t>
  </si>
  <si>
    <t>Braunschweig</t>
  </si>
  <si>
    <t>Scrubb</t>
  </si>
  <si>
    <t>John A. Logan</t>
  </si>
  <si>
    <t>Dereon</t>
  </si>
  <si>
    <t>Seabron</t>
  </si>
  <si>
    <t>North Carolina State</t>
  </si>
  <si>
    <t>Alperen</t>
  </si>
  <si>
    <t>Sengun</t>
  </si>
  <si>
    <t>Besiktas</t>
  </si>
  <si>
    <t>Collin</t>
  </si>
  <si>
    <t>Sexton</t>
  </si>
  <si>
    <t>Landry</t>
  </si>
  <si>
    <t>Shamet</t>
  </si>
  <si>
    <t>Wichita State</t>
  </si>
  <si>
    <t>Day'Ron</t>
  </si>
  <si>
    <t>Sharpe</t>
  </si>
  <si>
    <t>Shaedon</t>
  </si>
  <si>
    <t>Pascal</t>
  </si>
  <si>
    <t>Siakam</t>
  </si>
  <si>
    <t>Silva</t>
  </si>
  <si>
    <t>Gabon</t>
  </si>
  <si>
    <t>Ben</t>
  </si>
  <si>
    <t>Simmons</t>
  </si>
  <si>
    <t>Kobi</t>
  </si>
  <si>
    <t>Marko</t>
  </si>
  <si>
    <t>Simonovic</t>
  </si>
  <si>
    <t>Montenegro</t>
  </si>
  <si>
    <t>Anfernee</t>
  </si>
  <si>
    <t>Simons</t>
  </si>
  <si>
    <t>Edgewater HS (FL)</t>
  </si>
  <si>
    <t>Jericho</t>
  </si>
  <si>
    <t>Sims</t>
  </si>
  <si>
    <t>Smart</t>
  </si>
  <si>
    <t>Dru</t>
  </si>
  <si>
    <t>Smith</t>
  </si>
  <si>
    <t>Ish</t>
  </si>
  <si>
    <t>Smith Jr.</t>
  </si>
  <si>
    <t>Jabari</t>
  </si>
  <si>
    <t>Sneed</t>
  </si>
  <si>
    <t>Jeremy</t>
  </si>
  <si>
    <t>Sochan</t>
  </si>
  <si>
    <t>Poland</t>
  </si>
  <si>
    <t>Springer</t>
  </si>
  <si>
    <t>Lamar</t>
  </si>
  <si>
    <t>Stevens</t>
  </si>
  <si>
    <t>Penn State</t>
  </si>
  <si>
    <t>Stewart</t>
  </si>
  <si>
    <t>Strus</t>
  </si>
  <si>
    <t>Suggs</t>
  </si>
  <si>
    <t>Edmond</t>
  </si>
  <si>
    <t>Sumner</t>
  </si>
  <si>
    <t>Swider</t>
  </si>
  <si>
    <t>Jae'Sean</t>
  </si>
  <si>
    <t>Tate</t>
  </si>
  <si>
    <t>Jayson</t>
  </si>
  <si>
    <t>Tatum</t>
  </si>
  <si>
    <t>Taylor</t>
  </si>
  <si>
    <t>Austin Peay</t>
  </si>
  <si>
    <t>Garrett</t>
  </si>
  <si>
    <t>Temple</t>
  </si>
  <si>
    <t>Dalen</t>
  </si>
  <si>
    <t>Theis</t>
  </si>
  <si>
    <t>Brose Bamberg</t>
  </si>
  <si>
    <t>Klay</t>
  </si>
  <si>
    <t>Thompson</t>
  </si>
  <si>
    <t>Washington State</t>
  </si>
  <si>
    <t>Tristan</t>
  </si>
  <si>
    <t>Texas-Austin</t>
  </si>
  <si>
    <t>JT</t>
  </si>
  <si>
    <t>Thor</t>
  </si>
  <si>
    <t>Matisse</t>
  </si>
  <si>
    <t>Thybulle</t>
  </si>
  <si>
    <t>Tillman</t>
  </si>
  <si>
    <t>Todd</t>
  </si>
  <si>
    <t>Obi</t>
  </si>
  <si>
    <t>Toppin</t>
  </si>
  <si>
    <t>Dayton</t>
  </si>
  <si>
    <t>Juan</t>
  </si>
  <si>
    <t>Toscano-Anderson</t>
  </si>
  <si>
    <t>Karl-Anthony</t>
  </si>
  <si>
    <t>Towns</t>
  </si>
  <si>
    <t>Trent Jr.</t>
  </si>
  <si>
    <t>P.J.</t>
  </si>
  <si>
    <t>Tucker</t>
  </si>
  <si>
    <t>Myles</t>
  </si>
  <si>
    <t>Turner</t>
  </si>
  <si>
    <t>Umude</t>
  </si>
  <si>
    <t>Jonas</t>
  </si>
  <si>
    <t>Valanciunas</t>
  </si>
  <si>
    <t>Lietuvos rytas Vilnius</t>
  </si>
  <si>
    <t>Fred</t>
  </si>
  <si>
    <t>VanVleet</t>
  </si>
  <si>
    <t>Jarred</t>
  </si>
  <si>
    <t>Vassell</t>
  </si>
  <si>
    <t>Gabe</t>
  </si>
  <si>
    <t>Vincent</t>
  </si>
  <si>
    <t>California-Santa Barbara</t>
  </si>
  <si>
    <t>Noah</t>
  </si>
  <si>
    <t>Vonleh</t>
  </si>
  <si>
    <t>Vucevic</t>
  </si>
  <si>
    <t>Dean</t>
  </si>
  <si>
    <t>Wade</t>
  </si>
  <si>
    <t>Franz</t>
  </si>
  <si>
    <t>Wagner</t>
  </si>
  <si>
    <t>Moritz</t>
  </si>
  <si>
    <t>Wainright</t>
  </si>
  <si>
    <t>Kemba</t>
  </si>
  <si>
    <t>Lonnie</t>
  </si>
  <si>
    <t>Walker IV</t>
  </si>
  <si>
    <t>Wall</t>
  </si>
  <si>
    <t>Warren</t>
  </si>
  <si>
    <t>Duane</t>
  </si>
  <si>
    <t>Washington Jr.</t>
  </si>
  <si>
    <t>TyTy</t>
  </si>
  <si>
    <t>Yuta</t>
  </si>
  <si>
    <t>Watanabe</t>
  </si>
  <si>
    <t>George Washington</t>
  </si>
  <si>
    <t>Lindy</t>
  </si>
  <si>
    <t>Waters III</t>
  </si>
  <si>
    <t>Trendon</t>
  </si>
  <si>
    <t>Watford</t>
  </si>
  <si>
    <t>Peyton</t>
  </si>
  <si>
    <t>Watson</t>
  </si>
  <si>
    <t>Westbrook</t>
  </si>
  <si>
    <t>Coby</t>
  </si>
  <si>
    <t>White</t>
  </si>
  <si>
    <t>Jack</t>
  </si>
  <si>
    <t>Wieskamp</t>
  </si>
  <si>
    <t>Wiggins</t>
  </si>
  <si>
    <t>Lindell</t>
  </si>
  <si>
    <t>Wigginton</t>
  </si>
  <si>
    <t>Alondes</t>
  </si>
  <si>
    <t>Williams</t>
  </si>
  <si>
    <t>Santa Clara</t>
  </si>
  <si>
    <t>Jaylin</t>
  </si>
  <si>
    <t>Jeenathan</t>
  </si>
  <si>
    <t>Buffalo</t>
  </si>
  <si>
    <t>Kenrich</t>
  </si>
  <si>
    <t>Mark</t>
  </si>
  <si>
    <t>Ziaire</t>
  </si>
  <si>
    <t>Williams III</t>
  </si>
  <si>
    <t>Vince</t>
  </si>
  <si>
    <t>Williams Jr.</t>
  </si>
  <si>
    <t>Zion</t>
  </si>
  <si>
    <t>Williamson</t>
  </si>
  <si>
    <t>Dylan</t>
  </si>
  <si>
    <t>Windler</t>
  </si>
  <si>
    <t>Belmont</t>
  </si>
  <si>
    <t>Justise</t>
  </si>
  <si>
    <t>Winslow</t>
  </si>
  <si>
    <t>Wiseman</t>
  </si>
  <si>
    <t>Wood</t>
  </si>
  <si>
    <t>Delon</t>
  </si>
  <si>
    <t>Wright</t>
  </si>
  <si>
    <t>McKinley</t>
  </si>
  <si>
    <t>Wright IV</t>
  </si>
  <si>
    <t>York</t>
  </si>
  <si>
    <t>Thaddeus</t>
  </si>
  <si>
    <t>Young</t>
  </si>
  <si>
    <t>Trae</t>
  </si>
  <si>
    <t>Omer</t>
  </si>
  <si>
    <t>Yurtseven</t>
  </si>
  <si>
    <t>Zeller</t>
  </si>
  <si>
    <t>Ivica</t>
  </si>
  <si>
    <t>Zubac</t>
  </si>
  <si>
    <t>name</t>
  </si>
  <si>
    <t>Dumont High School</t>
  </si>
  <si>
    <t>nba_drafted</t>
  </si>
  <si>
    <t>height(feet)</t>
  </si>
  <si>
    <t>height(inches)</t>
  </si>
  <si>
    <t>height(raw)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</si>
</sst>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m/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7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9"/>
  <sheetViews>
    <sheetView tabSelected="1" topLeftCell="C1" workbookViewId="0">
      <selection activeCell="E1" activeCellId="3" sqref="E2 F1:F1048576 G1:G1048576 E1:E1048576"/>
    </sheetView>
  </sheetViews>
  <sheetFormatPr defaultRowHeight="14.5" x14ac:dyDescent="0.35"/>
  <cols>
    <col min="1" max="1" width="12.08984375" hidden="1" customWidth="1"/>
    <col min="2" max="2" width="17.7265625" hidden="1" customWidth="1"/>
    <col min="3" max="3" width="23.54296875" bestFit="1" customWidth="1"/>
    <col min="4" max="4" width="14.453125" bestFit="1" customWidth="1"/>
    <col min="5" max="6" width="11.26953125" style="2" hidden="1" customWidth="1"/>
    <col min="7" max="7" width="13.36328125" style="2" hidden="1" customWidth="1"/>
    <col min="8" max="8" width="13.36328125" style="2" customWidth="1"/>
    <col min="9" max="9" width="6.81640625" bestFit="1" customWidth="1"/>
    <col min="10" max="10" width="10.453125" customWidth="1"/>
    <col min="11" max="11" width="30.08984375" bestFit="1" customWidth="1"/>
    <col min="12" max="12" width="25.36328125" bestFit="1" customWidth="1"/>
    <col min="13" max="13" width="9.6328125" bestFit="1" customWidth="1"/>
    <col min="14" max="14" width="11.26953125" bestFit="1" customWidth="1"/>
    <col min="15" max="15" width="11" hidden="1" customWidth="1"/>
    <col min="16" max="16" width="12.81640625" hidden="1" customWidth="1"/>
  </cols>
  <sheetData>
    <row r="1" spans="1:16" x14ac:dyDescent="0.35">
      <c r="A1" t="s">
        <v>0</v>
      </c>
      <c r="B1" t="s">
        <v>1</v>
      </c>
      <c r="C1" t="s">
        <v>1081</v>
      </c>
      <c r="D1" t="s">
        <v>2</v>
      </c>
      <c r="E1" s="2" t="s">
        <v>1086</v>
      </c>
      <c r="F1" s="2" t="s">
        <v>1084</v>
      </c>
      <c r="G1" s="2" t="s">
        <v>1085</v>
      </c>
      <c r="H1" s="2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1083</v>
      </c>
      <c r="O1" t="s">
        <v>9</v>
      </c>
      <c r="P1" t="s">
        <v>10</v>
      </c>
    </row>
    <row r="2" spans="1:16" x14ac:dyDescent="0.35">
      <c r="A2" t="s">
        <v>11</v>
      </c>
      <c r="B2" t="s">
        <v>12</v>
      </c>
      <c r="C2" t="str">
        <f>CONCATENATE(A2, " ",B2)</f>
        <v>Precious Achiuwa</v>
      </c>
      <c r="D2" t="s">
        <v>13</v>
      </c>
      <c r="E2" s="2">
        <v>45085</v>
      </c>
      <c r="F2" s="3">
        <f>MONTH(E2)</f>
        <v>6</v>
      </c>
      <c r="G2" s="3">
        <f>DAY(E2)</f>
        <v>8</v>
      </c>
      <c r="H2" s="2" t="str">
        <f>CONCATENATE(F2,"' ",G2,"""")</f>
        <v>6' 8"</v>
      </c>
      <c r="I2">
        <v>225</v>
      </c>
      <c r="J2" s="1">
        <v>36422</v>
      </c>
      <c r="K2" t="s">
        <v>14</v>
      </c>
      <c r="L2" t="s">
        <v>15</v>
      </c>
      <c r="M2">
        <v>2020</v>
      </c>
      <c r="N2" t="str">
        <f>IF(O2 &gt; 0,"Drafted","Undrafted")</f>
        <v>Drafted</v>
      </c>
      <c r="O2">
        <v>1</v>
      </c>
      <c r="P2">
        <v>20</v>
      </c>
    </row>
    <row r="3" spans="1:16" x14ac:dyDescent="0.35">
      <c r="A3" t="s">
        <v>16</v>
      </c>
      <c r="B3" t="s">
        <v>17</v>
      </c>
      <c r="C3" t="str">
        <f>CONCATENATE(A3, " ",B3)</f>
        <v>Steven Adams</v>
      </c>
      <c r="D3" t="s">
        <v>18</v>
      </c>
      <c r="E3" s="2">
        <v>45088</v>
      </c>
      <c r="F3" s="3">
        <f t="shared" ref="F3:F66" si="0">MONTH(E3)</f>
        <v>6</v>
      </c>
      <c r="G3" s="3">
        <f>DAY(E3)</f>
        <v>11</v>
      </c>
      <c r="H3" s="2" t="str">
        <f t="shared" ref="H3:H66" si="1">CONCATENATE(F3,"' ",G3,"""")</f>
        <v>6' 11"</v>
      </c>
      <c r="I3">
        <v>265</v>
      </c>
      <c r="J3" s="1">
        <v>34170</v>
      </c>
      <c r="K3" t="s">
        <v>19</v>
      </c>
      <c r="L3" t="s">
        <v>20</v>
      </c>
      <c r="M3">
        <v>2013</v>
      </c>
      <c r="N3" t="str">
        <f t="shared" ref="N3:N66" si="2">IF(O3 &gt; 0,"Drafted","Undrafted")</f>
        <v>Drafted</v>
      </c>
      <c r="O3">
        <v>1</v>
      </c>
      <c r="P3">
        <v>12</v>
      </c>
    </row>
    <row r="4" spans="1:16" x14ac:dyDescent="0.35">
      <c r="A4" t="s">
        <v>21</v>
      </c>
      <c r="B4" t="s">
        <v>22</v>
      </c>
      <c r="C4" t="str">
        <f>CONCATENATE(A4, " ",B4)</f>
        <v>Bam Adebayo</v>
      </c>
      <c r="D4" t="s">
        <v>23</v>
      </c>
      <c r="E4" s="2">
        <v>45086</v>
      </c>
      <c r="F4" s="3">
        <f t="shared" si="0"/>
        <v>6</v>
      </c>
      <c r="G4" s="3">
        <f t="shared" ref="G4:G67" si="3">DAY(E4)</f>
        <v>9</v>
      </c>
      <c r="H4" s="2" t="str">
        <f t="shared" si="1"/>
        <v>6' 9"</v>
      </c>
      <c r="I4">
        <v>255</v>
      </c>
      <c r="J4" s="1">
        <v>35629</v>
      </c>
      <c r="K4" t="s">
        <v>24</v>
      </c>
      <c r="L4" t="s">
        <v>25</v>
      </c>
      <c r="M4">
        <v>2017</v>
      </c>
      <c r="N4" t="str">
        <f t="shared" si="2"/>
        <v>Drafted</v>
      </c>
      <c r="O4">
        <v>1</v>
      </c>
      <c r="P4">
        <v>14</v>
      </c>
    </row>
    <row r="5" spans="1:16" x14ac:dyDescent="0.35">
      <c r="A5" t="s">
        <v>26</v>
      </c>
      <c r="B5" t="s">
        <v>27</v>
      </c>
      <c r="C5" t="str">
        <f>CONCATENATE(A5, " ",B5)</f>
        <v>Ochai Agbaji</v>
      </c>
      <c r="D5" t="s">
        <v>28</v>
      </c>
      <c r="E5" s="2">
        <v>45082</v>
      </c>
      <c r="F5" s="3">
        <f t="shared" si="0"/>
        <v>6</v>
      </c>
      <c r="G5" s="3">
        <f t="shared" si="3"/>
        <v>5</v>
      </c>
      <c r="H5" s="2" t="str">
        <f t="shared" si="1"/>
        <v>6' 5"</v>
      </c>
      <c r="I5">
        <v>215</v>
      </c>
      <c r="J5" s="1">
        <v>36636</v>
      </c>
      <c r="K5" t="s">
        <v>24</v>
      </c>
      <c r="L5" t="s">
        <v>29</v>
      </c>
      <c r="M5">
        <v>2022</v>
      </c>
      <c r="N5" t="str">
        <f t="shared" si="2"/>
        <v>Drafted</v>
      </c>
      <c r="O5">
        <v>1</v>
      </c>
      <c r="P5">
        <v>14</v>
      </c>
    </row>
    <row r="6" spans="1:16" x14ac:dyDescent="0.35">
      <c r="A6" t="s">
        <v>30</v>
      </c>
      <c r="B6" t="s">
        <v>31</v>
      </c>
      <c r="C6" t="str">
        <f>CONCATENATE(A6, " ",B6)</f>
        <v>Santi Aldama</v>
      </c>
      <c r="D6" t="s">
        <v>32</v>
      </c>
      <c r="E6" s="2">
        <v>36708</v>
      </c>
      <c r="F6" s="3">
        <f t="shared" si="0"/>
        <v>7</v>
      </c>
      <c r="G6" s="3">
        <f t="shared" si="3"/>
        <v>1</v>
      </c>
      <c r="H6" s="2" t="str">
        <f t="shared" si="1"/>
        <v>7' 1"</v>
      </c>
      <c r="I6">
        <v>215</v>
      </c>
      <c r="J6" s="1">
        <v>36901</v>
      </c>
      <c r="K6" t="s">
        <v>33</v>
      </c>
      <c r="L6" t="s">
        <v>34</v>
      </c>
      <c r="M6">
        <v>2021</v>
      </c>
      <c r="N6" t="str">
        <f t="shared" si="2"/>
        <v>Drafted</v>
      </c>
      <c r="O6">
        <v>1</v>
      </c>
      <c r="P6">
        <v>30</v>
      </c>
    </row>
    <row r="7" spans="1:16" x14ac:dyDescent="0.35">
      <c r="A7" t="s">
        <v>35</v>
      </c>
      <c r="B7" t="s">
        <v>36</v>
      </c>
      <c r="C7" t="str">
        <f>CONCATENATE(A7, " ",B7)</f>
        <v>Nickeil Alexander-Walker</v>
      </c>
      <c r="D7" t="s">
        <v>28</v>
      </c>
      <c r="E7" s="2">
        <v>45082</v>
      </c>
      <c r="F7" s="3">
        <f t="shared" si="0"/>
        <v>6</v>
      </c>
      <c r="G7" s="3">
        <f t="shared" si="3"/>
        <v>5</v>
      </c>
      <c r="H7" s="2" t="str">
        <f t="shared" si="1"/>
        <v>6' 5"</v>
      </c>
      <c r="I7">
        <v>205</v>
      </c>
      <c r="J7" s="1">
        <v>36040</v>
      </c>
      <c r="K7" t="s">
        <v>37</v>
      </c>
      <c r="L7" t="s">
        <v>38</v>
      </c>
      <c r="M7">
        <v>2019</v>
      </c>
      <c r="N7" t="str">
        <f t="shared" si="2"/>
        <v>Drafted</v>
      </c>
      <c r="O7">
        <v>1</v>
      </c>
      <c r="P7">
        <v>17</v>
      </c>
    </row>
    <row r="8" spans="1:16" x14ac:dyDescent="0.35">
      <c r="A8" t="s">
        <v>39</v>
      </c>
      <c r="B8" t="s">
        <v>40</v>
      </c>
      <c r="C8" t="str">
        <f>CONCATENATE(A8, " ",B8)</f>
        <v>Grayson Allen</v>
      </c>
      <c r="D8" t="s">
        <v>28</v>
      </c>
      <c r="E8" s="2">
        <v>45081</v>
      </c>
      <c r="F8" s="3">
        <f t="shared" si="0"/>
        <v>6</v>
      </c>
      <c r="G8" s="3">
        <f t="shared" si="3"/>
        <v>4</v>
      </c>
      <c r="H8" s="2" t="str">
        <f t="shared" si="1"/>
        <v>6' 4"</v>
      </c>
      <c r="I8">
        <v>198</v>
      </c>
      <c r="J8" s="1">
        <v>34980</v>
      </c>
      <c r="K8" t="s">
        <v>24</v>
      </c>
      <c r="L8" t="s">
        <v>41</v>
      </c>
      <c r="M8">
        <v>2018</v>
      </c>
      <c r="N8" t="str">
        <f t="shared" si="2"/>
        <v>Drafted</v>
      </c>
      <c r="O8">
        <v>1</v>
      </c>
      <c r="P8">
        <v>21</v>
      </c>
    </row>
    <row r="9" spans="1:16" x14ac:dyDescent="0.35">
      <c r="A9" t="s">
        <v>42</v>
      </c>
      <c r="B9" t="s">
        <v>40</v>
      </c>
      <c r="C9" t="str">
        <f>CONCATENATE(A9, " ",B9)</f>
        <v>Jarrett Allen</v>
      </c>
      <c r="D9" t="s">
        <v>18</v>
      </c>
      <c r="E9" s="2">
        <v>45086</v>
      </c>
      <c r="F9" s="3">
        <f t="shared" si="0"/>
        <v>6</v>
      </c>
      <c r="G9" s="3">
        <f t="shared" si="3"/>
        <v>9</v>
      </c>
      <c r="H9" s="2" t="str">
        <f t="shared" si="1"/>
        <v>6' 9"</v>
      </c>
      <c r="I9">
        <v>243</v>
      </c>
      <c r="J9" s="1">
        <v>35906</v>
      </c>
      <c r="K9" t="s">
        <v>24</v>
      </c>
      <c r="L9" t="s">
        <v>43</v>
      </c>
      <c r="M9">
        <v>2017</v>
      </c>
      <c r="N9" t="str">
        <f t="shared" si="2"/>
        <v>Drafted</v>
      </c>
      <c r="O9">
        <v>1</v>
      </c>
      <c r="P9">
        <v>22</v>
      </c>
    </row>
    <row r="10" spans="1:16" x14ac:dyDescent="0.35">
      <c r="A10" t="s">
        <v>44</v>
      </c>
      <c r="B10" t="s">
        <v>45</v>
      </c>
      <c r="C10" t="str">
        <f>CONCATENATE(A10, " ",B10)</f>
        <v>Jose Alvarado</v>
      </c>
      <c r="D10" t="s">
        <v>28</v>
      </c>
      <c r="E10" s="2">
        <v>36678</v>
      </c>
      <c r="F10" s="3">
        <f t="shared" si="0"/>
        <v>6</v>
      </c>
      <c r="G10" s="3">
        <f t="shared" si="3"/>
        <v>1</v>
      </c>
      <c r="H10" s="2" t="str">
        <f t="shared" si="1"/>
        <v>6' 1"</v>
      </c>
      <c r="I10">
        <v>179</v>
      </c>
      <c r="J10" s="1">
        <v>35897</v>
      </c>
      <c r="K10" t="s">
        <v>24</v>
      </c>
      <c r="L10" t="s">
        <v>46</v>
      </c>
      <c r="M10">
        <v>2021</v>
      </c>
      <c r="N10" t="str">
        <f t="shared" si="2"/>
        <v>Undrafted</v>
      </c>
    </row>
    <row r="11" spans="1:16" x14ac:dyDescent="0.35">
      <c r="A11" t="s">
        <v>47</v>
      </c>
      <c r="B11" t="s">
        <v>48</v>
      </c>
      <c r="C11" t="str">
        <f>CONCATENATE(A11, " ",B11)</f>
        <v>Kyle Anderson</v>
      </c>
      <c r="D11" t="s">
        <v>49</v>
      </c>
      <c r="E11" s="2">
        <v>45086</v>
      </c>
      <c r="F11" s="3">
        <f t="shared" si="0"/>
        <v>6</v>
      </c>
      <c r="G11" s="3">
        <f t="shared" si="3"/>
        <v>9</v>
      </c>
      <c r="H11" s="2" t="str">
        <f t="shared" si="1"/>
        <v>6' 9"</v>
      </c>
      <c r="I11">
        <v>230</v>
      </c>
      <c r="J11" s="1">
        <v>34232</v>
      </c>
      <c r="K11" t="s">
        <v>24</v>
      </c>
      <c r="L11" t="s">
        <v>50</v>
      </c>
      <c r="M11">
        <v>2014</v>
      </c>
      <c r="N11" t="str">
        <f t="shared" si="2"/>
        <v>Drafted</v>
      </c>
      <c r="O11">
        <v>1</v>
      </c>
      <c r="P11">
        <v>30</v>
      </c>
    </row>
    <row r="12" spans="1:16" x14ac:dyDescent="0.35">
      <c r="A12" t="s">
        <v>51</v>
      </c>
      <c r="B12" t="s">
        <v>52</v>
      </c>
      <c r="C12" t="str">
        <f>CONCATENATE(A12, " ",B12)</f>
        <v>Giannis Antetokounmpo</v>
      </c>
      <c r="D12" t="s">
        <v>13</v>
      </c>
      <c r="E12" s="2">
        <v>36708</v>
      </c>
      <c r="F12" s="3">
        <f t="shared" si="0"/>
        <v>7</v>
      </c>
      <c r="G12" s="3">
        <f t="shared" si="3"/>
        <v>1</v>
      </c>
      <c r="H12" s="2" t="str">
        <f t="shared" si="1"/>
        <v>7' 1"</v>
      </c>
      <c r="I12">
        <v>243</v>
      </c>
      <c r="J12" s="1">
        <v>34674</v>
      </c>
      <c r="K12" t="s">
        <v>53</v>
      </c>
      <c r="L12" t="s">
        <v>54</v>
      </c>
      <c r="M12">
        <v>2013</v>
      </c>
      <c r="N12" t="str">
        <f t="shared" si="2"/>
        <v>Drafted</v>
      </c>
      <c r="O12">
        <v>1</v>
      </c>
      <c r="P12">
        <v>15</v>
      </c>
    </row>
    <row r="13" spans="1:16" x14ac:dyDescent="0.35">
      <c r="A13" t="s">
        <v>55</v>
      </c>
      <c r="B13" t="s">
        <v>52</v>
      </c>
      <c r="C13" t="str">
        <f>CONCATENATE(A13, " ",B13)</f>
        <v>Kostas Antetokounmpo</v>
      </c>
      <c r="D13" t="s">
        <v>13</v>
      </c>
      <c r="E13" s="2">
        <v>45087</v>
      </c>
      <c r="F13" s="3">
        <f t="shared" si="0"/>
        <v>6</v>
      </c>
      <c r="G13" s="3">
        <f t="shared" si="3"/>
        <v>10</v>
      </c>
      <c r="H13" s="2" t="str">
        <f t="shared" si="1"/>
        <v>6' 10"</v>
      </c>
      <c r="I13">
        <v>200</v>
      </c>
      <c r="J13" s="1">
        <v>35754</v>
      </c>
      <c r="K13" t="s">
        <v>53</v>
      </c>
      <c r="L13" t="s">
        <v>56</v>
      </c>
      <c r="M13">
        <v>2018</v>
      </c>
      <c r="N13" t="str">
        <f t="shared" si="2"/>
        <v>Drafted</v>
      </c>
      <c r="O13">
        <v>2</v>
      </c>
      <c r="P13">
        <v>60</v>
      </c>
    </row>
    <row r="14" spans="1:16" x14ac:dyDescent="0.35">
      <c r="A14" t="s">
        <v>57</v>
      </c>
      <c r="B14" t="s">
        <v>52</v>
      </c>
      <c r="C14" t="str">
        <f>CONCATENATE(A14, " ",B14)</f>
        <v>Thanasis Antetokounmpo</v>
      </c>
      <c r="D14" t="s">
        <v>13</v>
      </c>
      <c r="E14" s="2">
        <v>45084</v>
      </c>
      <c r="F14" s="3">
        <f t="shared" si="0"/>
        <v>6</v>
      </c>
      <c r="G14" s="3">
        <f t="shared" si="3"/>
        <v>7</v>
      </c>
      <c r="H14" s="2" t="str">
        <f t="shared" si="1"/>
        <v>6' 7"</v>
      </c>
      <c r="I14">
        <v>219</v>
      </c>
      <c r="J14" s="1">
        <v>33803</v>
      </c>
      <c r="K14" t="s">
        <v>53</v>
      </c>
      <c r="L14" t="s">
        <v>58</v>
      </c>
      <c r="M14">
        <v>2014</v>
      </c>
      <c r="N14" t="str">
        <f t="shared" si="2"/>
        <v>Drafted</v>
      </c>
      <c r="O14">
        <v>2</v>
      </c>
      <c r="P14">
        <v>51</v>
      </c>
    </row>
    <row r="15" spans="1:16" x14ac:dyDescent="0.35">
      <c r="A15" t="s">
        <v>59</v>
      </c>
      <c r="B15" t="s">
        <v>60</v>
      </c>
      <c r="C15" t="str">
        <f>CONCATENATE(A15, " ",B15)</f>
        <v>Cole Anthony</v>
      </c>
      <c r="D15" t="s">
        <v>28</v>
      </c>
      <c r="E15" s="2">
        <v>45080</v>
      </c>
      <c r="F15" s="3">
        <f t="shared" si="0"/>
        <v>6</v>
      </c>
      <c r="G15" s="3">
        <f t="shared" si="3"/>
        <v>3</v>
      </c>
      <c r="H15" s="2" t="str">
        <f t="shared" si="1"/>
        <v>6' 3"</v>
      </c>
      <c r="I15">
        <v>185</v>
      </c>
      <c r="J15" s="1">
        <v>36661</v>
      </c>
      <c r="K15" t="s">
        <v>24</v>
      </c>
      <c r="L15" t="s">
        <v>61</v>
      </c>
      <c r="M15">
        <v>2020</v>
      </c>
      <c r="N15" t="str">
        <f t="shared" si="2"/>
        <v>Drafted</v>
      </c>
      <c r="O15">
        <v>1</v>
      </c>
      <c r="P15">
        <v>15</v>
      </c>
    </row>
    <row r="16" spans="1:16" x14ac:dyDescent="0.35">
      <c r="A16" t="s">
        <v>62</v>
      </c>
      <c r="B16" t="s">
        <v>63</v>
      </c>
      <c r="C16" t="str">
        <f>CONCATENATE(A16, " ",B16)</f>
        <v>O.G. Anunoby</v>
      </c>
      <c r="D16" t="s">
        <v>13</v>
      </c>
      <c r="E16" s="2">
        <v>45084</v>
      </c>
      <c r="F16" s="3">
        <f t="shared" si="0"/>
        <v>6</v>
      </c>
      <c r="G16" s="3">
        <f t="shared" si="3"/>
        <v>7</v>
      </c>
      <c r="H16" s="2" t="str">
        <f t="shared" si="1"/>
        <v>6' 7"</v>
      </c>
      <c r="I16">
        <v>232</v>
      </c>
      <c r="J16" s="1">
        <v>35628</v>
      </c>
      <c r="K16" t="s">
        <v>64</v>
      </c>
      <c r="L16" t="s">
        <v>65</v>
      </c>
      <c r="M16">
        <v>2017</v>
      </c>
      <c r="N16" t="str">
        <f t="shared" si="2"/>
        <v>Drafted</v>
      </c>
      <c r="O16">
        <v>1</v>
      </c>
      <c r="P16">
        <v>23</v>
      </c>
    </row>
    <row r="17" spans="1:16" x14ac:dyDescent="0.35">
      <c r="A17" t="s">
        <v>66</v>
      </c>
      <c r="B17" t="s">
        <v>67</v>
      </c>
      <c r="C17" t="str">
        <f>CONCATENATE(A17, " ",B17)</f>
        <v>Ryan Arcidiacono</v>
      </c>
      <c r="D17" t="s">
        <v>28</v>
      </c>
      <c r="E17" s="2">
        <v>45080</v>
      </c>
      <c r="F17" s="3">
        <f t="shared" si="0"/>
        <v>6</v>
      </c>
      <c r="G17" s="3">
        <f t="shared" si="3"/>
        <v>3</v>
      </c>
      <c r="H17" s="2" t="str">
        <f t="shared" si="1"/>
        <v>6' 3"</v>
      </c>
      <c r="I17">
        <v>195</v>
      </c>
      <c r="J17" s="1">
        <v>34419</v>
      </c>
      <c r="K17" t="s">
        <v>24</v>
      </c>
      <c r="L17" t="s">
        <v>68</v>
      </c>
      <c r="M17">
        <v>2017</v>
      </c>
      <c r="N17" t="str">
        <f t="shared" si="2"/>
        <v>Undrafted</v>
      </c>
    </row>
    <row r="18" spans="1:16" x14ac:dyDescent="0.35">
      <c r="A18" t="s">
        <v>69</v>
      </c>
      <c r="B18" t="s">
        <v>70</v>
      </c>
      <c r="C18" t="str">
        <f>CONCATENATE(A18, " ",B18)</f>
        <v>D.J. Augustin</v>
      </c>
      <c r="D18" t="s">
        <v>28</v>
      </c>
      <c r="E18" s="2">
        <v>45057</v>
      </c>
      <c r="F18" s="3">
        <f t="shared" si="0"/>
        <v>5</v>
      </c>
      <c r="G18" s="3">
        <f t="shared" si="3"/>
        <v>11</v>
      </c>
      <c r="H18" s="2" t="str">
        <f t="shared" si="1"/>
        <v>5' 11"</v>
      </c>
      <c r="I18">
        <v>183</v>
      </c>
      <c r="J18" s="1">
        <v>32091</v>
      </c>
      <c r="K18" t="s">
        <v>24</v>
      </c>
      <c r="L18" t="s">
        <v>71</v>
      </c>
      <c r="M18">
        <v>2008</v>
      </c>
      <c r="N18" t="str">
        <f t="shared" si="2"/>
        <v>Drafted</v>
      </c>
      <c r="O18">
        <v>1</v>
      </c>
      <c r="P18">
        <v>9</v>
      </c>
    </row>
    <row r="19" spans="1:16" x14ac:dyDescent="0.35">
      <c r="A19" t="s">
        <v>72</v>
      </c>
      <c r="B19" t="s">
        <v>73</v>
      </c>
      <c r="C19" t="str">
        <f>CONCATENATE(A19, " ",B19)</f>
        <v>Deni Avdija</v>
      </c>
      <c r="D19" t="s">
        <v>13</v>
      </c>
      <c r="E19" s="2">
        <v>45086</v>
      </c>
      <c r="F19" s="3">
        <f t="shared" si="0"/>
        <v>6</v>
      </c>
      <c r="G19" s="3">
        <f t="shared" si="3"/>
        <v>9</v>
      </c>
      <c r="H19" s="2" t="str">
        <f t="shared" si="1"/>
        <v>6' 9"</v>
      </c>
      <c r="I19">
        <v>210</v>
      </c>
      <c r="J19" s="1">
        <v>36894</v>
      </c>
      <c r="K19" t="s">
        <v>74</v>
      </c>
      <c r="L19" t="s">
        <v>75</v>
      </c>
      <c r="M19">
        <v>2020</v>
      </c>
      <c r="N19" t="str">
        <f t="shared" si="2"/>
        <v>Drafted</v>
      </c>
      <c r="O19">
        <v>1</v>
      </c>
      <c r="P19">
        <v>9</v>
      </c>
    </row>
    <row r="20" spans="1:16" x14ac:dyDescent="0.35">
      <c r="A20" t="s">
        <v>76</v>
      </c>
      <c r="B20" t="s">
        <v>77</v>
      </c>
      <c r="C20" t="str">
        <f>CONCATENATE(A20, " ",B20)</f>
        <v>Deandre Ayton</v>
      </c>
      <c r="D20" t="s">
        <v>18</v>
      </c>
      <c r="E20" s="2">
        <v>36708</v>
      </c>
      <c r="F20" s="3">
        <f t="shared" si="0"/>
        <v>7</v>
      </c>
      <c r="G20" s="3">
        <f t="shared" si="3"/>
        <v>1</v>
      </c>
      <c r="H20" s="2" t="str">
        <f t="shared" si="1"/>
        <v>7' 1"</v>
      </c>
      <c r="I20">
        <v>250</v>
      </c>
      <c r="J20" s="1">
        <v>35999</v>
      </c>
      <c r="K20" t="s">
        <v>78</v>
      </c>
      <c r="L20" t="s">
        <v>79</v>
      </c>
      <c r="M20">
        <v>2018</v>
      </c>
      <c r="N20" t="str">
        <f t="shared" si="2"/>
        <v>Drafted</v>
      </c>
      <c r="O20">
        <v>1</v>
      </c>
      <c r="P20">
        <v>1</v>
      </c>
    </row>
    <row r="21" spans="1:16" x14ac:dyDescent="0.35">
      <c r="A21" t="s">
        <v>80</v>
      </c>
      <c r="B21" t="s">
        <v>81</v>
      </c>
      <c r="C21" t="str">
        <f>CONCATENATE(A21, " ",B21)</f>
        <v>Udoka Azubuike</v>
      </c>
      <c r="D21" t="s">
        <v>23</v>
      </c>
      <c r="E21" s="2">
        <v>45088</v>
      </c>
      <c r="F21" s="3">
        <f t="shared" si="0"/>
        <v>6</v>
      </c>
      <c r="G21" s="3">
        <f t="shared" si="3"/>
        <v>11</v>
      </c>
      <c r="H21" s="2" t="str">
        <f t="shared" si="1"/>
        <v>6' 11"</v>
      </c>
      <c r="I21">
        <v>270</v>
      </c>
      <c r="J21" s="1">
        <v>36420</v>
      </c>
      <c r="K21" t="s">
        <v>14</v>
      </c>
      <c r="L21" t="s">
        <v>29</v>
      </c>
      <c r="M21">
        <v>2020</v>
      </c>
      <c r="N21" t="str">
        <f t="shared" si="2"/>
        <v>Drafted</v>
      </c>
      <c r="O21">
        <v>1</v>
      </c>
      <c r="P21">
        <v>27</v>
      </c>
    </row>
    <row r="22" spans="1:16" x14ac:dyDescent="0.35">
      <c r="A22" t="s">
        <v>82</v>
      </c>
      <c r="B22" t="s">
        <v>83</v>
      </c>
      <c r="C22" t="str">
        <f>CONCATENATE(A22, " ",B22)</f>
        <v>Ibou Badji</v>
      </c>
      <c r="D22" t="s">
        <v>18</v>
      </c>
      <c r="E22" s="2">
        <v>45108</v>
      </c>
      <c r="F22" s="3">
        <f t="shared" si="0"/>
        <v>7</v>
      </c>
      <c r="G22" s="3">
        <f t="shared" si="3"/>
        <v>1</v>
      </c>
      <c r="H22" s="2" t="str">
        <f t="shared" si="1"/>
        <v>7' 1"</v>
      </c>
      <c r="I22">
        <v>240</v>
      </c>
      <c r="J22" s="1">
        <v>37542</v>
      </c>
      <c r="K22" t="s">
        <v>84</v>
      </c>
      <c r="L22" t="s">
        <v>85</v>
      </c>
      <c r="M22">
        <v>2022</v>
      </c>
      <c r="N22" t="str">
        <f t="shared" si="2"/>
        <v>Undrafted</v>
      </c>
    </row>
    <row r="23" spans="1:16" x14ac:dyDescent="0.35">
      <c r="A23" t="s">
        <v>86</v>
      </c>
      <c r="B23" t="s">
        <v>87</v>
      </c>
      <c r="C23" t="str">
        <f>CONCATENATE(A23, " ",B23)</f>
        <v>Marvin Bagley III</v>
      </c>
      <c r="D23" t="s">
        <v>13</v>
      </c>
      <c r="E23" s="2">
        <v>45087</v>
      </c>
      <c r="F23" s="3">
        <f t="shared" si="0"/>
        <v>6</v>
      </c>
      <c r="G23" s="3">
        <f t="shared" si="3"/>
        <v>10</v>
      </c>
      <c r="H23" s="2" t="str">
        <f t="shared" si="1"/>
        <v>6' 10"</v>
      </c>
      <c r="I23">
        <v>235</v>
      </c>
      <c r="J23" s="1">
        <v>36233</v>
      </c>
      <c r="K23" t="s">
        <v>24</v>
      </c>
      <c r="L23" t="s">
        <v>41</v>
      </c>
      <c r="M23">
        <v>2018</v>
      </c>
      <c r="N23" t="str">
        <f t="shared" si="2"/>
        <v>Drafted</v>
      </c>
      <c r="O23">
        <v>1</v>
      </c>
      <c r="P23">
        <v>2</v>
      </c>
    </row>
    <row r="24" spans="1:16" x14ac:dyDescent="0.35">
      <c r="A24" t="s">
        <v>88</v>
      </c>
      <c r="B24" t="s">
        <v>89</v>
      </c>
      <c r="C24" t="str">
        <f>CONCATENATE(A24, " ",B24)</f>
        <v>Patrick Baldwin</v>
      </c>
      <c r="D24" t="s">
        <v>13</v>
      </c>
      <c r="E24" s="2">
        <v>45086</v>
      </c>
      <c r="F24" s="3">
        <f t="shared" si="0"/>
        <v>6</v>
      </c>
      <c r="G24" s="3">
        <f t="shared" si="3"/>
        <v>9</v>
      </c>
      <c r="H24" s="2" t="str">
        <f t="shared" si="1"/>
        <v>6' 9"</v>
      </c>
      <c r="I24">
        <v>220</v>
      </c>
      <c r="J24" s="1">
        <v>37578</v>
      </c>
      <c r="K24" t="s">
        <v>24</v>
      </c>
      <c r="L24" t="s">
        <v>90</v>
      </c>
      <c r="M24">
        <v>2022</v>
      </c>
      <c r="N24" t="str">
        <f t="shared" si="2"/>
        <v>Drafted</v>
      </c>
      <c r="O24">
        <v>1</v>
      </c>
      <c r="P24">
        <v>28</v>
      </c>
    </row>
    <row r="25" spans="1:16" x14ac:dyDescent="0.35">
      <c r="A25" t="s">
        <v>91</v>
      </c>
      <c r="B25" t="s">
        <v>92</v>
      </c>
      <c r="C25" t="str">
        <f>CONCATENATE(A25, " ",B25)</f>
        <v>LaMelo Ball</v>
      </c>
      <c r="D25" t="s">
        <v>28</v>
      </c>
      <c r="E25" s="2">
        <v>45084</v>
      </c>
      <c r="F25" s="3">
        <f t="shared" si="0"/>
        <v>6</v>
      </c>
      <c r="G25" s="3">
        <f t="shared" si="3"/>
        <v>7</v>
      </c>
      <c r="H25" s="2" t="str">
        <f t="shared" si="1"/>
        <v>6' 7"</v>
      </c>
      <c r="I25">
        <v>180</v>
      </c>
      <c r="J25" s="1">
        <v>37125</v>
      </c>
      <c r="K25" t="s">
        <v>24</v>
      </c>
      <c r="L25" t="s">
        <v>93</v>
      </c>
      <c r="M25">
        <v>2020</v>
      </c>
      <c r="N25" t="str">
        <f t="shared" si="2"/>
        <v>Drafted</v>
      </c>
      <c r="O25">
        <v>1</v>
      </c>
      <c r="P25">
        <v>3</v>
      </c>
    </row>
    <row r="26" spans="1:16" x14ac:dyDescent="0.35">
      <c r="A26" t="s">
        <v>94</v>
      </c>
      <c r="B26" t="s">
        <v>95</v>
      </c>
      <c r="C26" t="str">
        <f>CONCATENATE(A26, " ",B26)</f>
        <v>Mo Bamba</v>
      </c>
      <c r="D26" t="s">
        <v>18</v>
      </c>
      <c r="E26" s="2">
        <v>36708</v>
      </c>
      <c r="F26" s="3">
        <f t="shared" si="0"/>
        <v>7</v>
      </c>
      <c r="G26" s="3">
        <f t="shared" si="3"/>
        <v>1</v>
      </c>
      <c r="H26" s="2" t="str">
        <f t="shared" si="1"/>
        <v>7' 1"</v>
      </c>
      <c r="I26">
        <v>231</v>
      </c>
      <c r="J26" s="1">
        <v>35927</v>
      </c>
      <c r="K26" t="s">
        <v>24</v>
      </c>
      <c r="L26" t="s">
        <v>43</v>
      </c>
      <c r="M26">
        <v>2018</v>
      </c>
      <c r="N26" t="str">
        <f t="shared" si="2"/>
        <v>Drafted</v>
      </c>
      <c r="O26">
        <v>1</v>
      </c>
      <c r="P26">
        <v>6</v>
      </c>
    </row>
    <row r="27" spans="1:16" x14ac:dyDescent="0.35">
      <c r="A27" t="s">
        <v>96</v>
      </c>
      <c r="B27" t="s">
        <v>97</v>
      </c>
      <c r="C27" t="str">
        <f>CONCATENATE(A27, " ",B27)</f>
        <v>Paolo Banchero</v>
      </c>
      <c r="D27" t="s">
        <v>13</v>
      </c>
      <c r="E27" s="2">
        <v>45087</v>
      </c>
      <c r="F27" s="3">
        <f t="shared" si="0"/>
        <v>6</v>
      </c>
      <c r="G27" s="3">
        <f t="shared" si="3"/>
        <v>10</v>
      </c>
      <c r="H27" s="2" t="str">
        <f t="shared" si="1"/>
        <v>6' 10"</v>
      </c>
      <c r="I27">
        <v>250</v>
      </c>
      <c r="J27" s="1">
        <v>37572</v>
      </c>
      <c r="K27" t="s">
        <v>24</v>
      </c>
      <c r="L27" t="s">
        <v>41</v>
      </c>
      <c r="M27">
        <v>2022</v>
      </c>
      <c r="N27" t="str">
        <f t="shared" si="2"/>
        <v>Drafted</v>
      </c>
      <c r="O27">
        <v>1</v>
      </c>
      <c r="P27">
        <v>1</v>
      </c>
    </row>
    <row r="28" spans="1:16" x14ac:dyDescent="0.35">
      <c r="A28" t="s">
        <v>98</v>
      </c>
      <c r="B28" t="s">
        <v>99</v>
      </c>
      <c r="C28" t="str">
        <f>CONCATENATE(A28, " ",B28)</f>
        <v>Desmond Bane</v>
      </c>
      <c r="D28" t="s">
        <v>28</v>
      </c>
      <c r="E28" s="2">
        <v>45082</v>
      </c>
      <c r="F28" s="3">
        <f t="shared" si="0"/>
        <v>6</v>
      </c>
      <c r="G28" s="3">
        <f t="shared" si="3"/>
        <v>5</v>
      </c>
      <c r="H28" s="2" t="str">
        <f t="shared" si="1"/>
        <v>6' 5"</v>
      </c>
      <c r="I28">
        <v>215</v>
      </c>
      <c r="J28" s="1">
        <v>35971</v>
      </c>
      <c r="K28" t="s">
        <v>24</v>
      </c>
      <c r="L28" t="s">
        <v>100</v>
      </c>
      <c r="M28">
        <v>2020</v>
      </c>
      <c r="N28" t="str">
        <f t="shared" si="2"/>
        <v>Drafted</v>
      </c>
      <c r="O28">
        <v>1</v>
      </c>
      <c r="P28">
        <v>30</v>
      </c>
    </row>
    <row r="29" spans="1:16" x14ac:dyDescent="0.35">
      <c r="A29" t="s">
        <v>101</v>
      </c>
      <c r="B29" t="s">
        <v>102</v>
      </c>
      <c r="C29" t="str">
        <f>CONCATENATE(A29, " ",B29)</f>
        <v>Dalano Banton</v>
      </c>
      <c r="D29" t="s">
        <v>13</v>
      </c>
      <c r="E29" s="2">
        <v>45084</v>
      </c>
      <c r="F29" s="3">
        <f t="shared" si="0"/>
        <v>6</v>
      </c>
      <c r="G29" s="3">
        <f t="shared" si="3"/>
        <v>7</v>
      </c>
      <c r="H29" s="2" t="str">
        <f t="shared" si="1"/>
        <v>6' 7"</v>
      </c>
      <c r="I29">
        <v>204</v>
      </c>
      <c r="J29" s="1">
        <v>36471</v>
      </c>
      <c r="K29" t="s">
        <v>37</v>
      </c>
      <c r="L29" t="s">
        <v>103</v>
      </c>
      <c r="M29">
        <v>2021</v>
      </c>
      <c r="N29" t="str">
        <f t="shared" si="2"/>
        <v>Drafted</v>
      </c>
      <c r="O29">
        <v>2</v>
      </c>
      <c r="P29">
        <v>46</v>
      </c>
    </row>
    <row r="30" spans="1:16" x14ac:dyDescent="0.35">
      <c r="A30" t="s">
        <v>104</v>
      </c>
      <c r="B30" t="s">
        <v>105</v>
      </c>
      <c r="C30" t="str">
        <f>CONCATENATE(A30, " ",B30)</f>
        <v>Dominick Barlow</v>
      </c>
      <c r="D30" t="s">
        <v>13</v>
      </c>
      <c r="E30" s="2">
        <v>45086</v>
      </c>
      <c r="F30" s="3">
        <f t="shared" si="0"/>
        <v>6</v>
      </c>
      <c r="G30" s="3">
        <f t="shared" si="3"/>
        <v>9</v>
      </c>
      <c r="H30" s="2" t="str">
        <f t="shared" si="1"/>
        <v>6' 9"</v>
      </c>
      <c r="I30">
        <v>215</v>
      </c>
      <c r="J30" s="1">
        <v>37767</v>
      </c>
      <c r="K30" t="s">
        <v>24</v>
      </c>
      <c r="L30" t="s">
        <v>1082</v>
      </c>
      <c r="M30">
        <v>2022</v>
      </c>
      <c r="N30" t="str">
        <f t="shared" si="2"/>
        <v>Undrafted</v>
      </c>
    </row>
    <row r="31" spans="1:16" x14ac:dyDescent="0.35">
      <c r="A31" t="s">
        <v>106</v>
      </c>
      <c r="B31" t="s">
        <v>107</v>
      </c>
      <c r="C31" t="str">
        <f>CONCATENATE(A31, " ",B31)</f>
        <v>Harrison Barnes</v>
      </c>
      <c r="D31" t="s">
        <v>13</v>
      </c>
      <c r="E31" s="2">
        <v>45085</v>
      </c>
      <c r="F31" s="3">
        <f t="shared" si="0"/>
        <v>6</v>
      </c>
      <c r="G31" s="3">
        <f t="shared" si="3"/>
        <v>8</v>
      </c>
      <c r="H31" s="2" t="str">
        <f t="shared" si="1"/>
        <v>6' 8"</v>
      </c>
      <c r="I31">
        <v>225</v>
      </c>
      <c r="J31" s="1">
        <v>33754</v>
      </c>
      <c r="K31" t="s">
        <v>24</v>
      </c>
      <c r="L31" t="s">
        <v>61</v>
      </c>
      <c r="M31">
        <v>2012</v>
      </c>
      <c r="N31" t="str">
        <f t="shared" si="2"/>
        <v>Drafted</v>
      </c>
      <c r="O31">
        <v>1</v>
      </c>
      <c r="P31">
        <v>7</v>
      </c>
    </row>
    <row r="32" spans="1:16" x14ac:dyDescent="0.35">
      <c r="A32" t="s">
        <v>108</v>
      </c>
      <c r="B32" t="s">
        <v>107</v>
      </c>
      <c r="C32" t="str">
        <f>CONCATENATE(A32, " ",B32)</f>
        <v>Scottie Barnes</v>
      </c>
      <c r="D32" t="s">
        <v>13</v>
      </c>
      <c r="E32" s="2">
        <v>45085</v>
      </c>
      <c r="F32" s="3">
        <f t="shared" si="0"/>
        <v>6</v>
      </c>
      <c r="G32" s="3">
        <f t="shared" si="3"/>
        <v>8</v>
      </c>
      <c r="H32" s="2" t="str">
        <f t="shared" si="1"/>
        <v>6' 8"</v>
      </c>
      <c r="I32">
        <v>225</v>
      </c>
      <c r="J32" s="1">
        <v>37104</v>
      </c>
      <c r="K32" t="s">
        <v>24</v>
      </c>
      <c r="L32" t="s">
        <v>109</v>
      </c>
      <c r="M32">
        <v>2021</v>
      </c>
      <c r="N32" t="str">
        <f t="shared" si="2"/>
        <v>Drafted</v>
      </c>
      <c r="O32">
        <v>1</v>
      </c>
      <c r="P32">
        <v>4</v>
      </c>
    </row>
    <row r="33" spans="1:16" x14ac:dyDescent="0.35">
      <c r="A33" t="s">
        <v>110</v>
      </c>
      <c r="B33" t="s">
        <v>111</v>
      </c>
      <c r="C33" t="str">
        <f>CONCATENATE(A33, " ",B33)</f>
        <v>RJ Barrett</v>
      </c>
      <c r="D33" t="s">
        <v>49</v>
      </c>
      <c r="E33" s="2">
        <v>45083</v>
      </c>
      <c r="F33" s="3">
        <f t="shared" si="0"/>
        <v>6</v>
      </c>
      <c r="G33" s="3">
        <f t="shared" si="3"/>
        <v>6</v>
      </c>
      <c r="H33" s="2" t="str">
        <f t="shared" si="1"/>
        <v>6' 6"</v>
      </c>
      <c r="I33">
        <v>214</v>
      </c>
      <c r="J33" s="1">
        <v>36691</v>
      </c>
      <c r="K33" t="s">
        <v>37</v>
      </c>
      <c r="L33" t="s">
        <v>41</v>
      </c>
      <c r="M33">
        <v>2019</v>
      </c>
      <c r="N33" t="str">
        <f t="shared" si="2"/>
        <v>Drafted</v>
      </c>
      <c r="O33">
        <v>1</v>
      </c>
      <c r="P33">
        <v>3</v>
      </c>
    </row>
    <row r="34" spans="1:16" x14ac:dyDescent="0.35">
      <c r="A34" t="s">
        <v>112</v>
      </c>
      <c r="B34" t="s">
        <v>113</v>
      </c>
      <c r="C34" t="str">
        <f>CONCATENATE(A34, " ",B34)</f>
        <v>Will Barton</v>
      </c>
      <c r="D34" t="s">
        <v>28</v>
      </c>
      <c r="E34" s="2">
        <v>45082</v>
      </c>
      <c r="F34" s="3">
        <f t="shared" si="0"/>
        <v>6</v>
      </c>
      <c r="G34" s="3">
        <f t="shared" si="3"/>
        <v>5</v>
      </c>
      <c r="H34" s="2" t="str">
        <f t="shared" si="1"/>
        <v>6' 5"</v>
      </c>
      <c r="I34">
        <v>181</v>
      </c>
      <c r="J34" s="1">
        <v>33244</v>
      </c>
      <c r="K34" t="s">
        <v>24</v>
      </c>
      <c r="L34" t="s">
        <v>15</v>
      </c>
      <c r="M34">
        <v>2012</v>
      </c>
      <c r="N34" t="str">
        <f t="shared" si="2"/>
        <v>Drafted</v>
      </c>
      <c r="O34">
        <v>2</v>
      </c>
      <c r="P34">
        <v>40</v>
      </c>
    </row>
    <row r="35" spans="1:16" x14ac:dyDescent="0.35">
      <c r="A35" t="s">
        <v>114</v>
      </c>
      <c r="B35" t="s">
        <v>115</v>
      </c>
      <c r="C35" t="str">
        <f>CONCATENATE(A35, " ",B35)</f>
        <v>Charles Bassey</v>
      </c>
      <c r="D35" t="s">
        <v>23</v>
      </c>
      <c r="E35" s="2">
        <v>45086</v>
      </c>
      <c r="F35" s="3">
        <f t="shared" si="0"/>
        <v>6</v>
      </c>
      <c r="G35" s="3">
        <f t="shared" si="3"/>
        <v>9</v>
      </c>
      <c r="H35" s="2" t="str">
        <f t="shared" si="1"/>
        <v>6' 9"</v>
      </c>
      <c r="I35">
        <v>230</v>
      </c>
      <c r="J35" s="1">
        <v>36827</v>
      </c>
      <c r="K35" t="s">
        <v>14</v>
      </c>
      <c r="L35" t="s">
        <v>116</v>
      </c>
      <c r="M35">
        <v>2021</v>
      </c>
      <c r="N35" t="str">
        <f t="shared" si="2"/>
        <v>Drafted</v>
      </c>
      <c r="O35">
        <v>2</v>
      </c>
      <c r="P35">
        <v>53</v>
      </c>
    </row>
    <row r="36" spans="1:16" x14ac:dyDescent="0.35">
      <c r="A36" t="s">
        <v>117</v>
      </c>
      <c r="B36" t="s">
        <v>118</v>
      </c>
      <c r="C36" t="str">
        <f>CONCATENATE(A36, " ",B36)</f>
        <v>Keita Bates-Diop</v>
      </c>
      <c r="D36" t="s">
        <v>13</v>
      </c>
      <c r="E36" s="2">
        <v>45085</v>
      </c>
      <c r="F36" s="3">
        <f t="shared" si="0"/>
        <v>6</v>
      </c>
      <c r="G36" s="3">
        <f t="shared" si="3"/>
        <v>8</v>
      </c>
      <c r="H36" s="2" t="str">
        <f t="shared" si="1"/>
        <v>6' 8"</v>
      </c>
      <c r="I36">
        <v>229</v>
      </c>
      <c r="J36" s="1">
        <v>35087</v>
      </c>
      <c r="K36" t="s">
        <v>24</v>
      </c>
      <c r="L36" t="s">
        <v>119</v>
      </c>
      <c r="M36">
        <v>2018</v>
      </c>
      <c r="N36" t="str">
        <f t="shared" si="2"/>
        <v>Drafted</v>
      </c>
      <c r="O36">
        <v>2</v>
      </c>
      <c r="P36">
        <v>48</v>
      </c>
    </row>
    <row r="37" spans="1:16" x14ac:dyDescent="0.35">
      <c r="A37" t="s">
        <v>120</v>
      </c>
      <c r="B37" t="s">
        <v>121</v>
      </c>
      <c r="C37" t="str">
        <f>CONCATENATE(A37, " ",B37)</f>
        <v>Nicolas Batum</v>
      </c>
      <c r="D37" t="s">
        <v>122</v>
      </c>
      <c r="E37" s="2">
        <v>45085</v>
      </c>
      <c r="F37" s="3">
        <f t="shared" si="0"/>
        <v>6</v>
      </c>
      <c r="G37" s="3">
        <f t="shared" si="3"/>
        <v>8</v>
      </c>
      <c r="H37" s="2" t="str">
        <f t="shared" si="1"/>
        <v>6' 8"</v>
      </c>
      <c r="I37">
        <v>230</v>
      </c>
      <c r="J37" s="1">
        <v>32491</v>
      </c>
      <c r="K37" t="s">
        <v>123</v>
      </c>
      <c r="L37" t="s">
        <v>124</v>
      </c>
      <c r="M37">
        <v>2008</v>
      </c>
      <c r="N37" t="str">
        <f t="shared" si="2"/>
        <v>Drafted</v>
      </c>
      <c r="O37">
        <v>1</v>
      </c>
      <c r="P37">
        <v>25</v>
      </c>
    </row>
    <row r="38" spans="1:16" x14ac:dyDescent="0.35">
      <c r="A38" t="s">
        <v>125</v>
      </c>
      <c r="B38" t="s">
        <v>126</v>
      </c>
      <c r="C38" t="str">
        <f>CONCATENATE(A38, " ",B38)</f>
        <v>Darius Bazley</v>
      </c>
      <c r="D38" t="s">
        <v>13</v>
      </c>
      <c r="E38" s="2">
        <v>45086</v>
      </c>
      <c r="F38" s="3">
        <f t="shared" si="0"/>
        <v>6</v>
      </c>
      <c r="G38" s="3">
        <f t="shared" si="3"/>
        <v>9</v>
      </c>
      <c r="H38" s="2" t="str">
        <f t="shared" si="1"/>
        <v>6' 9"</v>
      </c>
      <c r="I38">
        <v>216</v>
      </c>
      <c r="J38" s="1">
        <v>36689</v>
      </c>
      <c r="K38" t="s">
        <v>24</v>
      </c>
      <c r="L38" t="s">
        <v>127</v>
      </c>
      <c r="M38">
        <v>2019</v>
      </c>
      <c r="N38" t="str">
        <f t="shared" si="2"/>
        <v>Drafted</v>
      </c>
      <c r="O38">
        <v>1</v>
      </c>
      <c r="P38">
        <v>23</v>
      </c>
    </row>
    <row r="39" spans="1:16" x14ac:dyDescent="0.35">
      <c r="A39" t="s">
        <v>128</v>
      </c>
      <c r="B39" t="s">
        <v>129</v>
      </c>
      <c r="C39" t="str">
        <f>CONCATENATE(A39, " ",B39)</f>
        <v>Bradley Beal</v>
      </c>
      <c r="D39" t="s">
        <v>28</v>
      </c>
      <c r="E39" s="2">
        <v>45081</v>
      </c>
      <c r="F39" s="3">
        <f t="shared" si="0"/>
        <v>6</v>
      </c>
      <c r="G39" s="3">
        <f t="shared" si="3"/>
        <v>4</v>
      </c>
      <c r="H39" s="2" t="str">
        <f t="shared" si="1"/>
        <v>6' 4"</v>
      </c>
      <c r="I39">
        <v>207</v>
      </c>
      <c r="J39" s="1">
        <v>34148</v>
      </c>
      <c r="K39" t="s">
        <v>24</v>
      </c>
      <c r="L39" t="s">
        <v>130</v>
      </c>
      <c r="M39">
        <v>2012</v>
      </c>
      <c r="N39" t="str">
        <f t="shared" si="2"/>
        <v>Drafted</v>
      </c>
      <c r="O39">
        <v>1</v>
      </c>
      <c r="P39">
        <v>3</v>
      </c>
    </row>
    <row r="40" spans="1:16" x14ac:dyDescent="0.35">
      <c r="A40" t="s">
        <v>131</v>
      </c>
      <c r="B40" t="s">
        <v>132</v>
      </c>
      <c r="C40" t="str">
        <f>CONCATENATE(A40, " ",B40)</f>
        <v>Malik Beasley</v>
      </c>
      <c r="D40" t="s">
        <v>28</v>
      </c>
      <c r="E40" s="2">
        <v>45081</v>
      </c>
      <c r="F40" s="3">
        <f t="shared" si="0"/>
        <v>6</v>
      </c>
      <c r="G40" s="3">
        <f t="shared" si="3"/>
        <v>4</v>
      </c>
      <c r="H40" s="2" t="str">
        <f t="shared" si="1"/>
        <v>6' 4"</v>
      </c>
      <c r="I40">
        <v>187</v>
      </c>
      <c r="J40" s="1">
        <v>35395</v>
      </c>
      <c r="K40" t="s">
        <v>24</v>
      </c>
      <c r="L40" t="s">
        <v>109</v>
      </c>
      <c r="M40">
        <v>2016</v>
      </c>
      <c r="N40" t="str">
        <f t="shared" si="2"/>
        <v>Drafted</v>
      </c>
      <c r="O40">
        <v>1</v>
      </c>
      <c r="P40">
        <v>19</v>
      </c>
    </row>
    <row r="41" spans="1:16" x14ac:dyDescent="0.35">
      <c r="A41" t="s">
        <v>133</v>
      </c>
      <c r="B41" t="s">
        <v>134</v>
      </c>
      <c r="C41" t="str">
        <f>CONCATENATE(A41, " ",B41)</f>
        <v>MarJon Beauchamp</v>
      </c>
      <c r="D41" t="s">
        <v>13</v>
      </c>
      <c r="E41" s="2">
        <v>45084</v>
      </c>
      <c r="F41" s="3">
        <f t="shared" si="0"/>
        <v>6</v>
      </c>
      <c r="G41" s="3">
        <f t="shared" si="3"/>
        <v>7</v>
      </c>
      <c r="H41" s="2" t="str">
        <f t="shared" si="1"/>
        <v>6' 7"</v>
      </c>
      <c r="I41">
        <v>199</v>
      </c>
      <c r="J41" s="1">
        <v>36811</v>
      </c>
      <c r="K41" t="s">
        <v>24</v>
      </c>
      <c r="L41" t="s">
        <v>135</v>
      </c>
      <c r="M41">
        <v>2022</v>
      </c>
      <c r="N41" t="str">
        <f t="shared" si="2"/>
        <v>Drafted</v>
      </c>
      <c r="O41">
        <v>1</v>
      </c>
      <c r="P41">
        <v>24</v>
      </c>
    </row>
    <row r="42" spans="1:16" x14ac:dyDescent="0.35">
      <c r="A42" t="s">
        <v>136</v>
      </c>
      <c r="B42" t="s">
        <v>137</v>
      </c>
      <c r="C42" t="str">
        <f>CONCATENATE(A42, " ",B42)</f>
        <v>Davis Bertans</v>
      </c>
      <c r="D42" t="s">
        <v>13</v>
      </c>
      <c r="E42" s="2">
        <v>45087</v>
      </c>
      <c r="F42" s="3">
        <f t="shared" si="0"/>
        <v>6</v>
      </c>
      <c r="G42" s="3">
        <f t="shared" si="3"/>
        <v>10</v>
      </c>
      <c r="H42" s="2" t="str">
        <f t="shared" si="1"/>
        <v>6' 10"</v>
      </c>
      <c r="I42">
        <v>225</v>
      </c>
      <c r="J42" s="1">
        <v>33920</v>
      </c>
      <c r="K42" t="s">
        <v>138</v>
      </c>
      <c r="L42" t="s">
        <v>139</v>
      </c>
      <c r="M42">
        <v>2011</v>
      </c>
      <c r="N42" t="str">
        <f t="shared" si="2"/>
        <v>Drafted</v>
      </c>
      <c r="O42">
        <v>2</v>
      </c>
      <c r="P42">
        <v>42</v>
      </c>
    </row>
    <row r="43" spans="1:16" x14ac:dyDescent="0.35">
      <c r="A43" t="s">
        <v>88</v>
      </c>
      <c r="B43" t="s">
        <v>140</v>
      </c>
      <c r="C43" t="str">
        <f>CONCATENATE(A43, " ",B43)</f>
        <v>Patrick Beverley</v>
      </c>
      <c r="D43" t="s">
        <v>28</v>
      </c>
      <c r="E43" s="2">
        <v>45079</v>
      </c>
      <c r="F43" s="3">
        <f t="shared" si="0"/>
        <v>6</v>
      </c>
      <c r="G43" s="3">
        <f t="shared" si="3"/>
        <v>2</v>
      </c>
      <c r="H43" s="2" t="str">
        <f t="shared" si="1"/>
        <v>6' 2"</v>
      </c>
      <c r="I43">
        <v>180</v>
      </c>
      <c r="J43" s="1">
        <v>32336</v>
      </c>
      <c r="K43" t="s">
        <v>24</v>
      </c>
      <c r="L43" t="s">
        <v>141</v>
      </c>
      <c r="M43">
        <v>2009</v>
      </c>
      <c r="N43" t="str">
        <f t="shared" si="2"/>
        <v>Drafted</v>
      </c>
      <c r="O43">
        <v>2</v>
      </c>
      <c r="P43">
        <v>42</v>
      </c>
    </row>
    <row r="44" spans="1:16" x14ac:dyDescent="0.35">
      <c r="A44" t="s">
        <v>142</v>
      </c>
      <c r="B44" t="s">
        <v>143</v>
      </c>
      <c r="C44" t="str">
        <f>CONCATENATE(A44, " ",B44)</f>
        <v>Saddiq Bey</v>
      </c>
      <c r="D44" t="s">
        <v>13</v>
      </c>
      <c r="E44" s="2">
        <v>45084</v>
      </c>
      <c r="F44" s="3">
        <f t="shared" si="0"/>
        <v>6</v>
      </c>
      <c r="G44" s="3">
        <f t="shared" si="3"/>
        <v>7</v>
      </c>
      <c r="H44" s="2" t="str">
        <f t="shared" si="1"/>
        <v>6' 7"</v>
      </c>
      <c r="I44">
        <v>215</v>
      </c>
      <c r="J44" s="1">
        <v>36259</v>
      </c>
      <c r="K44" t="s">
        <v>24</v>
      </c>
      <c r="L44" t="s">
        <v>68</v>
      </c>
      <c r="M44">
        <v>2020</v>
      </c>
      <c r="N44" t="str">
        <f t="shared" si="2"/>
        <v>Drafted</v>
      </c>
      <c r="O44">
        <v>1</v>
      </c>
      <c r="P44">
        <v>19</v>
      </c>
    </row>
    <row r="45" spans="1:16" x14ac:dyDescent="0.35">
      <c r="A45" t="s">
        <v>144</v>
      </c>
      <c r="B45" t="s">
        <v>145</v>
      </c>
      <c r="C45" t="str">
        <f>CONCATENATE(A45, " ",B45)</f>
        <v>Khem Birch</v>
      </c>
      <c r="D45" t="s">
        <v>18</v>
      </c>
      <c r="E45" s="2">
        <v>45085</v>
      </c>
      <c r="F45" s="3">
        <f t="shared" si="0"/>
        <v>6</v>
      </c>
      <c r="G45" s="3">
        <f t="shared" si="3"/>
        <v>8</v>
      </c>
      <c r="H45" s="2" t="str">
        <f t="shared" si="1"/>
        <v>6' 8"</v>
      </c>
      <c r="I45">
        <v>233</v>
      </c>
      <c r="J45" s="1">
        <v>33875</v>
      </c>
      <c r="K45" t="s">
        <v>37</v>
      </c>
      <c r="L45" t="s">
        <v>146</v>
      </c>
      <c r="M45">
        <v>2017</v>
      </c>
      <c r="N45" t="str">
        <f t="shared" si="2"/>
        <v>Undrafted</v>
      </c>
    </row>
    <row r="46" spans="1:16" x14ac:dyDescent="0.35">
      <c r="A46" t="s">
        <v>147</v>
      </c>
      <c r="B46" t="s">
        <v>148</v>
      </c>
      <c r="C46" t="str">
        <f>CONCATENATE(A46, " ",B46)</f>
        <v>Goga Bitadze</v>
      </c>
      <c r="D46" t="s">
        <v>23</v>
      </c>
      <c r="E46" s="2">
        <v>45088</v>
      </c>
      <c r="F46" s="3">
        <f t="shared" si="0"/>
        <v>6</v>
      </c>
      <c r="G46" s="3">
        <f t="shared" si="3"/>
        <v>11</v>
      </c>
      <c r="H46" s="2" t="str">
        <f t="shared" si="1"/>
        <v>6' 11"</v>
      </c>
      <c r="I46">
        <v>250</v>
      </c>
      <c r="J46" s="1">
        <v>36361</v>
      </c>
      <c r="K46" t="s">
        <v>149</v>
      </c>
      <c r="L46" t="s">
        <v>150</v>
      </c>
      <c r="M46">
        <v>2019</v>
      </c>
      <c r="N46" t="str">
        <f t="shared" si="2"/>
        <v>Drafted</v>
      </c>
      <c r="O46">
        <v>1</v>
      </c>
      <c r="P46">
        <v>18</v>
      </c>
    </row>
    <row r="47" spans="1:16" x14ac:dyDescent="0.35">
      <c r="A47" t="s">
        <v>151</v>
      </c>
      <c r="B47" t="s">
        <v>152</v>
      </c>
      <c r="C47" t="str">
        <f>CONCATENATE(A47, " ",B47)</f>
        <v>Bismack Biyombo</v>
      </c>
      <c r="D47" t="s">
        <v>18</v>
      </c>
      <c r="E47" s="2">
        <v>45085</v>
      </c>
      <c r="F47" s="3">
        <f t="shared" si="0"/>
        <v>6</v>
      </c>
      <c r="G47" s="3">
        <f t="shared" si="3"/>
        <v>8</v>
      </c>
      <c r="H47" s="2" t="str">
        <f t="shared" si="1"/>
        <v>6' 8"</v>
      </c>
      <c r="I47">
        <v>255</v>
      </c>
      <c r="J47" s="1">
        <v>33844</v>
      </c>
      <c r="K47" t="s">
        <v>153</v>
      </c>
      <c r="L47" t="s">
        <v>154</v>
      </c>
      <c r="M47">
        <v>2011</v>
      </c>
      <c r="N47" t="str">
        <f t="shared" si="2"/>
        <v>Drafted</v>
      </c>
      <c r="O47">
        <v>1</v>
      </c>
      <c r="P47">
        <v>7</v>
      </c>
    </row>
    <row r="48" spans="1:16" x14ac:dyDescent="0.35">
      <c r="A48" t="s">
        <v>155</v>
      </c>
      <c r="B48" t="s">
        <v>156</v>
      </c>
      <c r="C48" t="str">
        <f>CONCATENATE(A48, " ",B48)</f>
        <v>Buddy Boeheim</v>
      </c>
      <c r="D48" t="s">
        <v>13</v>
      </c>
      <c r="E48" s="2">
        <v>45083</v>
      </c>
      <c r="F48" s="3">
        <f t="shared" si="0"/>
        <v>6</v>
      </c>
      <c r="G48" s="3">
        <f t="shared" si="3"/>
        <v>6</v>
      </c>
      <c r="H48" s="2" t="str">
        <f t="shared" si="1"/>
        <v>6' 6"</v>
      </c>
      <c r="I48">
        <v>205</v>
      </c>
      <c r="J48" s="1">
        <v>36475</v>
      </c>
      <c r="K48" t="s">
        <v>24</v>
      </c>
      <c r="L48" t="s">
        <v>157</v>
      </c>
      <c r="M48">
        <v>2022</v>
      </c>
      <c r="N48" t="str">
        <f t="shared" si="2"/>
        <v>Undrafted</v>
      </c>
    </row>
    <row r="49" spans="1:16" x14ac:dyDescent="0.35">
      <c r="A49" t="s">
        <v>158</v>
      </c>
      <c r="B49" t="s">
        <v>159</v>
      </c>
      <c r="C49" t="str">
        <f>CONCATENATE(A49, " ",B49)</f>
        <v>Bogdan Bogdanovic</v>
      </c>
      <c r="D49" t="s">
        <v>28</v>
      </c>
      <c r="E49" s="2">
        <v>45082</v>
      </c>
      <c r="F49" s="3">
        <f t="shared" si="0"/>
        <v>6</v>
      </c>
      <c r="G49" s="3">
        <f t="shared" si="3"/>
        <v>5</v>
      </c>
      <c r="H49" s="2" t="str">
        <f t="shared" si="1"/>
        <v>6' 5"</v>
      </c>
      <c r="I49">
        <v>225</v>
      </c>
      <c r="J49" s="1">
        <v>33834</v>
      </c>
      <c r="K49" t="s">
        <v>160</v>
      </c>
      <c r="L49" t="s">
        <v>161</v>
      </c>
      <c r="M49">
        <v>2014</v>
      </c>
      <c r="N49" t="str">
        <f t="shared" si="2"/>
        <v>Drafted</v>
      </c>
      <c r="O49">
        <v>1</v>
      </c>
      <c r="P49">
        <v>27</v>
      </c>
    </row>
    <row r="50" spans="1:16" x14ac:dyDescent="0.35">
      <c r="A50" t="s">
        <v>162</v>
      </c>
      <c r="B50" t="s">
        <v>159</v>
      </c>
      <c r="C50" t="str">
        <f>CONCATENATE(A50, " ",B50)</f>
        <v>Bojan Bogdanovic</v>
      </c>
      <c r="D50" t="s">
        <v>13</v>
      </c>
      <c r="E50" s="2">
        <v>45084</v>
      </c>
      <c r="F50" s="3">
        <f t="shared" si="0"/>
        <v>6</v>
      </c>
      <c r="G50" s="3">
        <f t="shared" si="3"/>
        <v>7</v>
      </c>
      <c r="H50" s="2" t="str">
        <f t="shared" si="1"/>
        <v>6' 7"</v>
      </c>
      <c r="I50">
        <v>226</v>
      </c>
      <c r="J50" s="1">
        <v>32616</v>
      </c>
      <c r="K50" t="s">
        <v>163</v>
      </c>
      <c r="L50" t="s">
        <v>161</v>
      </c>
      <c r="M50">
        <v>2011</v>
      </c>
      <c r="N50" t="str">
        <f t="shared" si="2"/>
        <v>Drafted</v>
      </c>
      <c r="O50">
        <v>2</v>
      </c>
      <c r="P50">
        <v>31</v>
      </c>
    </row>
    <row r="51" spans="1:16" x14ac:dyDescent="0.35">
      <c r="A51" t="s">
        <v>164</v>
      </c>
      <c r="B51" t="s">
        <v>164</v>
      </c>
      <c r="C51" t="str">
        <f>CONCATENATE(A51, " ",B51)</f>
        <v>Bol Bol</v>
      </c>
      <c r="D51" t="s">
        <v>23</v>
      </c>
      <c r="E51" s="2">
        <v>45109</v>
      </c>
      <c r="F51" s="3">
        <f t="shared" si="0"/>
        <v>7</v>
      </c>
      <c r="G51" s="3">
        <f t="shared" si="3"/>
        <v>2</v>
      </c>
      <c r="H51" s="2" t="str">
        <f t="shared" si="1"/>
        <v>7' 2"</v>
      </c>
      <c r="I51">
        <v>220</v>
      </c>
      <c r="J51" s="1">
        <v>36480</v>
      </c>
      <c r="K51" t="s">
        <v>165</v>
      </c>
      <c r="L51" t="s">
        <v>166</v>
      </c>
      <c r="M51">
        <v>2019</v>
      </c>
      <c r="N51" t="str">
        <f t="shared" si="2"/>
        <v>Drafted</v>
      </c>
      <c r="O51">
        <v>2</v>
      </c>
      <c r="P51">
        <v>44</v>
      </c>
    </row>
    <row r="52" spans="1:16" x14ac:dyDescent="0.35">
      <c r="A52" t="s">
        <v>167</v>
      </c>
      <c r="B52" t="s">
        <v>168</v>
      </c>
      <c r="C52" t="str">
        <f>CONCATENATE(A52, " ",B52)</f>
        <v>Leandro Bolmaro</v>
      </c>
      <c r="D52" t="s">
        <v>13</v>
      </c>
      <c r="E52" s="2">
        <v>45083</v>
      </c>
      <c r="F52" s="3">
        <f t="shared" si="0"/>
        <v>6</v>
      </c>
      <c r="G52" s="3">
        <f t="shared" si="3"/>
        <v>6</v>
      </c>
      <c r="H52" s="2" t="str">
        <f t="shared" si="1"/>
        <v>6' 6"</v>
      </c>
      <c r="I52">
        <v>200</v>
      </c>
      <c r="J52" s="1">
        <v>36780</v>
      </c>
      <c r="K52" t="s">
        <v>169</v>
      </c>
      <c r="M52">
        <v>2020</v>
      </c>
      <c r="N52" t="str">
        <f t="shared" si="2"/>
        <v>Drafted</v>
      </c>
      <c r="O52">
        <v>1</v>
      </c>
      <c r="P52">
        <v>23</v>
      </c>
    </row>
    <row r="53" spans="1:16" x14ac:dyDescent="0.35">
      <c r="A53" t="s">
        <v>170</v>
      </c>
      <c r="B53" t="s">
        <v>171</v>
      </c>
      <c r="C53" t="str">
        <f>CONCATENATE(A53, " ",B53)</f>
        <v>Devin Booker</v>
      </c>
      <c r="D53" t="s">
        <v>28</v>
      </c>
      <c r="E53" s="2">
        <v>45082</v>
      </c>
      <c r="F53" s="3">
        <f t="shared" si="0"/>
        <v>6</v>
      </c>
      <c r="G53" s="3">
        <f t="shared" si="3"/>
        <v>5</v>
      </c>
      <c r="H53" s="2" t="str">
        <f t="shared" si="1"/>
        <v>6' 5"</v>
      </c>
      <c r="I53">
        <v>206</v>
      </c>
      <c r="J53" s="1">
        <v>35368</v>
      </c>
      <c r="K53" t="s">
        <v>24</v>
      </c>
      <c r="L53" t="s">
        <v>25</v>
      </c>
      <c r="M53">
        <v>2015</v>
      </c>
      <c r="N53" t="str">
        <f t="shared" si="2"/>
        <v>Drafted</v>
      </c>
      <c r="O53">
        <v>1</v>
      </c>
      <c r="P53">
        <v>13</v>
      </c>
    </row>
    <row r="54" spans="1:16" x14ac:dyDescent="0.35">
      <c r="A54" t="s">
        <v>172</v>
      </c>
      <c r="B54" t="s">
        <v>173</v>
      </c>
      <c r="C54" t="str">
        <f>CONCATENATE(A54, " ",B54)</f>
        <v>Brandon Boston Jr.</v>
      </c>
      <c r="D54" t="s">
        <v>28</v>
      </c>
      <c r="E54" s="2">
        <v>45083</v>
      </c>
      <c r="F54" s="3">
        <f t="shared" si="0"/>
        <v>6</v>
      </c>
      <c r="G54" s="3">
        <f t="shared" si="3"/>
        <v>6</v>
      </c>
      <c r="H54" s="2" t="str">
        <f t="shared" si="1"/>
        <v>6' 6"</v>
      </c>
      <c r="I54">
        <v>188</v>
      </c>
      <c r="J54" s="1">
        <v>37223</v>
      </c>
      <c r="K54" t="s">
        <v>24</v>
      </c>
      <c r="L54" t="s">
        <v>25</v>
      </c>
      <c r="M54">
        <v>2021</v>
      </c>
      <c r="N54" t="str">
        <f t="shared" si="2"/>
        <v>Drafted</v>
      </c>
      <c r="O54">
        <v>2</v>
      </c>
      <c r="P54">
        <v>51</v>
      </c>
    </row>
    <row r="55" spans="1:16" x14ac:dyDescent="0.35">
      <c r="A55" t="s">
        <v>174</v>
      </c>
      <c r="B55" t="s">
        <v>175</v>
      </c>
      <c r="C55" t="str">
        <f>CONCATENATE(A55, " ",B55)</f>
        <v>Chris Boucher</v>
      </c>
      <c r="D55" t="s">
        <v>32</v>
      </c>
      <c r="E55" s="2">
        <v>45086</v>
      </c>
      <c r="F55" s="3">
        <f t="shared" si="0"/>
        <v>6</v>
      </c>
      <c r="G55" s="3">
        <f t="shared" si="3"/>
        <v>9</v>
      </c>
      <c r="H55" s="2" t="str">
        <f t="shared" si="1"/>
        <v>6' 9"</v>
      </c>
      <c r="I55">
        <v>200</v>
      </c>
      <c r="J55" s="1">
        <v>33980</v>
      </c>
      <c r="K55" t="s">
        <v>176</v>
      </c>
      <c r="L55" t="s">
        <v>166</v>
      </c>
      <c r="M55">
        <v>2017</v>
      </c>
      <c r="N55" t="str">
        <f t="shared" si="2"/>
        <v>Undrafted</v>
      </c>
    </row>
    <row r="56" spans="1:16" x14ac:dyDescent="0.35">
      <c r="A56" t="s">
        <v>177</v>
      </c>
      <c r="B56" t="s">
        <v>178</v>
      </c>
      <c r="C56" t="str">
        <f>CONCATENATE(A56, " ",B56)</f>
        <v>James Bouknight</v>
      </c>
      <c r="D56" t="s">
        <v>28</v>
      </c>
      <c r="E56" s="2">
        <v>45081</v>
      </c>
      <c r="F56" s="3">
        <f t="shared" si="0"/>
        <v>6</v>
      </c>
      <c r="G56" s="3">
        <f t="shared" si="3"/>
        <v>4</v>
      </c>
      <c r="H56" s="2" t="str">
        <f t="shared" si="1"/>
        <v>6' 4"</v>
      </c>
      <c r="I56">
        <v>190</v>
      </c>
      <c r="J56" s="1">
        <v>36787</v>
      </c>
      <c r="K56" t="s">
        <v>24</v>
      </c>
      <c r="L56" t="s">
        <v>179</v>
      </c>
      <c r="M56">
        <v>2021</v>
      </c>
      <c r="N56" t="str">
        <f t="shared" si="2"/>
        <v>Drafted</v>
      </c>
      <c r="O56">
        <v>1</v>
      </c>
      <c r="P56">
        <v>11</v>
      </c>
    </row>
    <row r="57" spans="1:16" x14ac:dyDescent="0.35">
      <c r="A57" t="s">
        <v>180</v>
      </c>
      <c r="B57" t="s">
        <v>181</v>
      </c>
      <c r="C57" t="str">
        <f>CONCATENATE(A57, " ",B57)</f>
        <v>Jamaree Bouyea</v>
      </c>
      <c r="D57" t="s">
        <v>28</v>
      </c>
      <c r="E57" s="2">
        <v>45079</v>
      </c>
      <c r="F57" s="3">
        <f t="shared" si="0"/>
        <v>6</v>
      </c>
      <c r="G57" s="3">
        <f t="shared" si="3"/>
        <v>2</v>
      </c>
      <c r="H57" s="2" t="str">
        <f t="shared" si="1"/>
        <v>6' 2"</v>
      </c>
      <c r="I57">
        <v>180</v>
      </c>
      <c r="J57" s="1">
        <v>36338</v>
      </c>
      <c r="K57" t="s">
        <v>24</v>
      </c>
      <c r="L57" t="s">
        <v>182</v>
      </c>
      <c r="M57">
        <v>2022</v>
      </c>
      <c r="N57" t="str">
        <f t="shared" si="2"/>
        <v>Undrafted</v>
      </c>
    </row>
    <row r="58" spans="1:16" x14ac:dyDescent="0.35">
      <c r="A58" t="s">
        <v>183</v>
      </c>
      <c r="B58" t="s">
        <v>128</v>
      </c>
      <c r="C58" t="str">
        <f>CONCATENATE(A58, " ",B58)</f>
        <v>Tony Bradley</v>
      </c>
      <c r="D58" t="s">
        <v>23</v>
      </c>
      <c r="E58" s="2">
        <v>45088</v>
      </c>
      <c r="F58" s="3">
        <f t="shared" si="0"/>
        <v>6</v>
      </c>
      <c r="G58" s="3">
        <f t="shared" si="3"/>
        <v>11</v>
      </c>
      <c r="H58" s="2" t="str">
        <f t="shared" si="1"/>
        <v>6' 11"</v>
      </c>
      <c r="I58">
        <v>248</v>
      </c>
      <c r="J58" s="1">
        <v>35803</v>
      </c>
      <c r="K58" t="s">
        <v>24</v>
      </c>
      <c r="L58" t="s">
        <v>61</v>
      </c>
      <c r="M58">
        <v>2017</v>
      </c>
      <c r="N58" t="str">
        <f t="shared" si="2"/>
        <v>Drafted</v>
      </c>
      <c r="O58">
        <v>1</v>
      </c>
      <c r="P58">
        <v>28</v>
      </c>
    </row>
    <row r="59" spans="1:16" x14ac:dyDescent="0.35">
      <c r="A59" t="s">
        <v>184</v>
      </c>
      <c r="B59" t="s">
        <v>185</v>
      </c>
      <c r="C59" t="str">
        <f>CONCATENATE(A59, " ",B59)</f>
        <v>Malaki Branham</v>
      </c>
      <c r="D59" t="s">
        <v>13</v>
      </c>
      <c r="E59" s="2">
        <v>45081</v>
      </c>
      <c r="F59" s="3">
        <f t="shared" si="0"/>
        <v>6</v>
      </c>
      <c r="G59" s="3">
        <f t="shared" si="3"/>
        <v>4</v>
      </c>
      <c r="H59" s="2" t="str">
        <f t="shared" si="1"/>
        <v>6' 4"</v>
      </c>
      <c r="I59">
        <v>180</v>
      </c>
      <c r="J59" s="1">
        <v>37753</v>
      </c>
      <c r="K59" t="s">
        <v>24</v>
      </c>
      <c r="L59" t="s">
        <v>119</v>
      </c>
      <c r="M59">
        <v>2022</v>
      </c>
      <c r="N59" t="str">
        <f t="shared" si="2"/>
        <v>Drafted</v>
      </c>
      <c r="O59">
        <v>1</v>
      </c>
      <c r="P59">
        <v>20</v>
      </c>
    </row>
    <row r="60" spans="1:16" x14ac:dyDescent="0.35">
      <c r="A60" t="s">
        <v>186</v>
      </c>
      <c r="B60" t="s">
        <v>187</v>
      </c>
      <c r="C60" t="str">
        <f>CONCATENATE(A60, " ",B60)</f>
        <v>Jarrell Brantley</v>
      </c>
      <c r="D60" t="s">
        <v>13</v>
      </c>
      <c r="E60" s="2">
        <v>45082</v>
      </c>
      <c r="F60" s="3">
        <f t="shared" si="0"/>
        <v>6</v>
      </c>
      <c r="G60" s="3">
        <f t="shared" si="3"/>
        <v>5</v>
      </c>
      <c r="H60" s="2" t="str">
        <f t="shared" si="1"/>
        <v>6' 5"</v>
      </c>
      <c r="I60">
        <v>250</v>
      </c>
      <c r="J60" s="1">
        <v>35223</v>
      </c>
      <c r="K60" t="s">
        <v>24</v>
      </c>
      <c r="L60" t="s">
        <v>188</v>
      </c>
      <c r="M60">
        <v>2019</v>
      </c>
      <c r="N60" t="str">
        <f t="shared" si="2"/>
        <v>Drafted</v>
      </c>
      <c r="O60">
        <v>2</v>
      </c>
      <c r="P60">
        <v>50</v>
      </c>
    </row>
    <row r="61" spans="1:16" x14ac:dyDescent="0.35">
      <c r="A61" t="s">
        <v>189</v>
      </c>
      <c r="B61" t="s">
        <v>190</v>
      </c>
      <c r="C61" t="str">
        <f>CONCATENATE(A61, " ",B61)</f>
        <v>Christian Braun</v>
      </c>
      <c r="D61" t="s">
        <v>28</v>
      </c>
      <c r="E61" s="2">
        <v>45083</v>
      </c>
      <c r="F61" s="3">
        <f t="shared" si="0"/>
        <v>6</v>
      </c>
      <c r="G61" s="3">
        <f t="shared" si="3"/>
        <v>6</v>
      </c>
      <c r="H61" s="2" t="str">
        <f t="shared" si="1"/>
        <v>6' 6"</v>
      </c>
      <c r="I61">
        <v>220</v>
      </c>
      <c r="J61" s="1">
        <v>36998</v>
      </c>
      <c r="K61" t="s">
        <v>24</v>
      </c>
      <c r="L61" t="s">
        <v>29</v>
      </c>
      <c r="M61">
        <v>2022</v>
      </c>
      <c r="N61" t="str">
        <f t="shared" si="2"/>
        <v>Drafted</v>
      </c>
      <c r="O61">
        <v>1</v>
      </c>
      <c r="P61">
        <v>21</v>
      </c>
    </row>
    <row r="62" spans="1:16" x14ac:dyDescent="0.35">
      <c r="A62" t="s">
        <v>191</v>
      </c>
      <c r="B62" t="s">
        <v>192</v>
      </c>
      <c r="C62" t="str">
        <f>CONCATENATE(A62, " ",B62)</f>
        <v>Mikal Bridges</v>
      </c>
      <c r="D62" t="s">
        <v>122</v>
      </c>
      <c r="E62" s="2">
        <v>45083</v>
      </c>
      <c r="F62" s="3">
        <f t="shared" si="0"/>
        <v>6</v>
      </c>
      <c r="G62" s="3">
        <f t="shared" si="3"/>
        <v>6</v>
      </c>
      <c r="H62" s="2" t="str">
        <f t="shared" si="1"/>
        <v>6' 6"</v>
      </c>
      <c r="I62">
        <v>209</v>
      </c>
      <c r="J62" s="1">
        <v>35307</v>
      </c>
      <c r="K62" t="s">
        <v>24</v>
      </c>
      <c r="L62" t="s">
        <v>68</v>
      </c>
      <c r="M62">
        <v>2018</v>
      </c>
      <c r="N62" t="str">
        <f t="shared" si="2"/>
        <v>Drafted</v>
      </c>
      <c r="O62">
        <v>1</v>
      </c>
      <c r="P62">
        <v>10</v>
      </c>
    </row>
    <row r="63" spans="1:16" x14ac:dyDescent="0.35">
      <c r="A63" t="s">
        <v>193</v>
      </c>
      <c r="B63" t="s">
        <v>194</v>
      </c>
      <c r="C63" t="str">
        <f>CONCATENATE(A63, " ",B63)</f>
        <v>Oshae Brissett</v>
      </c>
      <c r="D63" t="s">
        <v>49</v>
      </c>
      <c r="E63" s="2">
        <v>45084</v>
      </c>
      <c r="F63" s="3">
        <f t="shared" si="0"/>
        <v>6</v>
      </c>
      <c r="G63" s="3">
        <f t="shared" si="3"/>
        <v>7</v>
      </c>
      <c r="H63" s="2" t="str">
        <f t="shared" si="1"/>
        <v>6' 7"</v>
      </c>
      <c r="I63">
        <v>210</v>
      </c>
      <c r="J63" s="1">
        <v>35966</v>
      </c>
      <c r="K63" t="s">
        <v>37</v>
      </c>
      <c r="L63" t="s">
        <v>157</v>
      </c>
      <c r="M63">
        <v>2019</v>
      </c>
      <c r="N63" t="str">
        <f t="shared" si="2"/>
        <v>Undrafted</v>
      </c>
    </row>
    <row r="64" spans="1:16" x14ac:dyDescent="0.35">
      <c r="A64" t="s">
        <v>195</v>
      </c>
      <c r="B64" t="s">
        <v>196</v>
      </c>
      <c r="C64" t="str">
        <f>CONCATENATE(A64, " ",B64)</f>
        <v>Malcolm Brogdon</v>
      </c>
      <c r="D64" t="s">
        <v>28</v>
      </c>
      <c r="E64" s="2">
        <v>45081</v>
      </c>
      <c r="F64" s="3">
        <f t="shared" si="0"/>
        <v>6</v>
      </c>
      <c r="G64" s="3">
        <f t="shared" si="3"/>
        <v>4</v>
      </c>
      <c r="H64" s="2" t="str">
        <f t="shared" si="1"/>
        <v>6' 4"</v>
      </c>
      <c r="I64">
        <v>229</v>
      </c>
      <c r="J64" s="1">
        <v>33949</v>
      </c>
      <c r="K64" t="s">
        <v>24</v>
      </c>
      <c r="L64" t="s">
        <v>197</v>
      </c>
      <c r="M64">
        <v>2016</v>
      </c>
      <c r="N64" t="str">
        <f t="shared" si="2"/>
        <v>Drafted</v>
      </c>
      <c r="O64">
        <v>2</v>
      </c>
      <c r="P64">
        <v>36</v>
      </c>
    </row>
    <row r="65" spans="1:16" x14ac:dyDescent="0.35">
      <c r="A65" t="s">
        <v>198</v>
      </c>
      <c r="B65" t="s">
        <v>199</v>
      </c>
      <c r="C65" t="str">
        <f>CONCATENATE(A65, " ",B65)</f>
        <v>Dillon Brooks</v>
      </c>
      <c r="D65" t="s">
        <v>122</v>
      </c>
      <c r="E65" s="2">
        <v>45083</v>
      </c>
      <c r="F65" s="3">
        <f t="shared" si="0"/>
        <v>6</v>
      </c>
      <c r="G65" s="3">
        <f t="shared" si="3"/>
        <v>6</v>
      </c>
      <c r="H65" s="2" t="str">
        <f t="shared" si="1"/>
        <v>6' 6"</v>
      </c>
      <c r="I65">
        <v>225</v>
      </c>
      <c r="J65" s="1">
        <v>35086</v>
      </c>
      <c r="K65" t="s">
        <v>37</v>
      </c>
      <c r="L65" t="s">
        <v>166</v>
      </c>
      <c r="M65">
        <v>2017</v>
      </c>
      <c r="N65" t="str">
        <f t="shared" si="2"/>
        <v>Drafted</v>
      </c>
      <c r="O65">
        <v>2</v>
      </c>
      <c r="P65">
        <v>45</v>
      </c>
    </row>
    <row r="66" spans="1:16" x14ac:dyDescent="0.35">
      <c r="A66" t="s">
        <v>200</v>
      </c>
      <c r="B66" t="s">
        <v>201</v>
      </c>
      <c r="C66" t="str">
        <f>CONCATENATE(A66, " ",B66)</f>
        <v>Bruce Brown</v>
      </c>
      <c r="D66" t="s">
        <v>122</v>
      </c>
      <c r="E66" s="2">
        <v>45081</v>
      </c>
      <c r="F66" s="3">
        <f t="shared" si="0"/>
        <v>6</v>
      </c>
      <c r="G66" s="3">
        <f t="shared" si="3"/>
        <v>4</v>
      </c>
      <c r="H66" s="2" t="str">
        <f t="shared" si="1"/>
        <v>6' 4"</v>
      </c>
      <c r="I66">
        <v>202</v>
      </c>
      <c r="J66" s="1">
        <v>35292</v>
      </c>
      <c r="K66" t="s">
        <v>24</v>
      </c>
      <c r="L66" t="s">
        <v>202</v>
      </c>
      <c r="M66">
        <v>2018</v>
      </c>
      <c r="N66" t="str">
        <f t="shared" si="2"/>
        <v>Drafted</v>
      </c>
      <c r="O66">
        <v>2</v>
      </c>
      <c r="P66">
        <v>42</v>
      </c>
    </row>
    <row r="67" spans="1:16" x14ac:dyDescent="0.35">
      <c r="A67" t="s">
        <v>203</v>
      </c>
      <c r="B67" t="s">
        <v>201</v>
      </c>
      <c r="C67" t="str">
        <f>CONCATENATE(A67, " ",B67)</f>
        <v>Jaylen Brown</v>
      </c>
      <c r="D67" t="s">
        <v>122</v>
      </c>
      <c r="E67" s="2">
        <v>45083</v>
      </c>
      <c r="F67" s="3">
        <f t="shared" ref="F67:F130" si="4">MONTH(E67)</f>
        <v>6</v>
      </c>
      <c r="G67" s="3">
        <f t="shared" si="3"/>
        <v>6</v>
      </c>
      <c r="H67" s="2" t="str">
        <f t="shared" ref="H67:H130" si="5">CONCATENATE(F67,"' ",G67,"""")</f>
        <v>6' 6"</v>
      </c>
      <c r="I67">
        <v>223</v>
      </c>
      <c r="J67" s="1">
        <v>35362</v>
      </c>
      <c r="K67" t="s">
        <v>24</v>
      </c>
      <c r="L67" t="s">
        <v>204</v>
      </c>
      <c r="M67">
        <v>2016</v>
      </c>
      <c r="N67" t="str">
        <f t="shared" ref="N67:N130" si="6">IF(O67 &gt; 0,"Drafted","Undrafted")</f>
        <v>Drafted</v>
      </c>
      <c r="O67">
        <v>1</v>
      </c>
      <c r="P67">
        <v>3</v>
      </c>
    </row>
    <row r="68" spans="1:16" x14ac:dyDescent="0.35">
      <c r="A68" t="s">
        <v>205</v>
      </c>
      <c r="B68" t="s">
        <v>201</v>
      </c>
      <c r="C68" t="str">
        <f>CONCATENATE(A68, " ",B68)</f>
        <v>Kendall Brown</v>
      </c>
      <c r="D68" t="s">
        <v>28</v>
      </c>
      <c r="E68" s="2">
        <v>45084</v>
      </c>
      <c r="F68" s="3">
        <f t="shared" si="4"/>
        <v>6</v>
      </c>
      <c r="G68" s="3">
        <f t="shared" ref="G68:G131" si="7">DAY(E68)</f>
        <v>7</v>
      </c>
      <c r="H68" s="2" t="str">
        <f t="shared" si="5"/>
        <v>6' 7"</v>
      </c>
      <c r="I68">
        <v>205</v>
      </c>
      <c r="J68" s="1">
        <v>37752</v>
      </c>
      <c r="K68" t="s">
        <v>24</v>
      </c>
      <c r="L68" t="s">
        <v>206</v>
      </c>
      <c r="M68">
        <v>2022</v>
      </c>
      <c r="N68" t="str">
        <f t="shared" si="6"/>
        <v>Drafted</v>
      </c>
      <c r="O68">
        <v>2</v>
      </c>
      <c r="P68">
        <v>48</v>
      </c>
    </row>
    <row r="69" spans="1:16" x14ac:dyDescent="0.35">
      <c r="A69" t="s">
        <v>207</v>
      </c>
      <c r="B69" t="s">
        <v>201</v>
      </c>
      <c r="C69" t="str">
        <f>CONCATENATE(A69, " ",B69)</f>
        <v>Moses Brown</v>
      </c>
      <c r="D69" t="s">
        <v>18</v>
      </c>
      <c r="E69" s="2">
        <v>45109</v>
      </c>
      <c r="F69" s="3">
        <f t="shared" si="4"/>
        <v>7</v>
      </c>
      <c r="G69" s="3">
        <f t="shared" si="7"/>
        <v>2</v>
      </c>
      <c r="H69" s="2" t="str">
        <f t="shared" si="5"/>
        <v>7' 2"</v>
      </c>
      <c r="I69">
        <v>245</v>
      </c>
      <c r="J69" s="1">
        <v>36446</v>
      </c>
      <c r="K69" t="s">
        <v>24</v>
      </c>
      <c r="L69" t="s">
        <v>50</v>
      </c>
      <c r="M69">
        <v>2019</v>
      </c>
      <c r="N69" t="str">
        <f t="shared" si="6"/>
        <v>Undrafted</v>
      </c>
    </row>
    <row r="70" spans="1:16" x14ac:dyDescent="0.35">
      <c r="A70" t="s">
        <v>208</v>
      </c>
      <c r="B70" t="s">
        <v>201</v>
      </c>
      <c r="C70" t="str">
        <f>CONCATENATE(A70, " ",B70)</f>
        <v>Sterling Brown</v>
      </c>
      <c r="D70" t="s">
        <v>122</v>
      </c>
      <c r="E70" s="2">
        <v>45082</v>
      </c>
      <c r="F70" s="3">
        <f t="shared" si="4"/>
        <v>6</v>
      </c>
      <c r="G70" s="3">
        <f t="shared" si="7"/>
        <v>5</v>
      </c>
      <c r="H70" s="2" t="str">
        <f t="shared" si="5"/>
        <v>6' 5"</v>
      </c>
      <c r="I70">
        <v>219</v>
      </c>
      <c r="J70" s="1">
        <v>34740</v>
      </c>
      <c r="K70" t="s">
        <v>24</v>
      </c>
      <c r="L70" t="s">
        <v>209</v>
      </c>
      <c r="M70">
        <v>2017</v>
      </c>
      <c r="N70" t="str">
        <f t="shared" si="6"/>
        <v>Drafted</v>
      </c>
      <c r="O70">
        <v>2</v>
      </c>
      <c r="P70">
        <v>46</v>
      </c>
    </row>
    <row r="71" spans="1:16" x14ac:dyDescent="0.35">
      <c r="A71" t="s">
        <v>210</v>
      </c>
      <c r="B71" t="s">
        <v>211</v>
      </c>
      <c r="C71" t="str">
        <f>CONCATENATE(A71, " ",B71)</f>
        <v>Greg Brown III</v>
      </c>
      <c r="D71" t="s">
        <v>13</v>
      </c>
      <c r="E71" s="2">
        <v>45084</v>
      </c>
      <c r="F71" s="3">
        <f t="shared" si="4"/>
        <v>6</v>
      </c>
      <c r="G71" s="3">
        <f t="shared" si="7"/>
        <v>7</v>
      </c>
      <c r="H71" s="2" t="str">
        <f t="shared" si="5"/>
        <v>6' 7"</v>
      </c>
      <c r="I71">
        <v>206</v>
      </c>
      <c r="J71" s="1">
        <v>37135</v>
      </c>
      <c r="K71" t="s">
        <v>24</v>
      </c>
      <c r="L71" t="s">
        <v>43</v>
      </c>
      <c r="M71">
        <v>2021</v>
      </c>
      <c r="N71" t="str">
        <f t="shared" si="6"/>
        <v>Drafted</v>
      </c>
      <c r="O71">
        <v>2</v>
      </c>
      <c r="P71">
        <v>43</v>
      </c>
    </row>
    <row r="72" spans="1:16" x14ac:dyDescent="0.35">
      <c r="A72" t="s">
        <v>212</v>
      </c>
      <c r="B72" t="s">
        <v>213</v>
      </c>
      <c r="C72" t="str">
        <f>CONCATENATE(A72, " ",B72)</f>
        <v>Troy Brown Jr.</v>
      </c>
      <c r="D72" t="s">
        <v>122</v>
      </c>
      <c r="E72" s="2">
        <v>45084</v>
      </c>
      <c r="F72" s="3">
        <f t="shared" si="4"/>
        <v>6</v>
      </c>
      <c r="G72" s="3">
        <f t="shared" si="7"/>
        <v>7</v>
      </c>
      <c r="H72" s="2" t="str">
        <f t="shared" si="5"/>
        <v>6' 7"</v>
      </c>
      <c r="I72">
        <v>215</v>
      </c>
      <c r="J72" s="1">
        <v>36369</v>
      </c>
      <c r="K72" t="s">
        <v>24</v>
      </c>
      <c r="L72" t="s">
        <v>166</v>
      </c>
      <c r="M72">
        <v>2018</v>
      </c>
      <c r="N72" t="str">
        <f t="shared" si="6"/>
        <v>Drafted</v>
      </c>
      <c r="O72">
        <v>1</v>
      </c>
      <c r="P72">
        <v>15</v>
      </c>
    </row>
    <row r="73" spans="1:16" x14ac:dyDescent="0.35">
      <c r="A73" t="s">
        <v>214</v>
      </c>
      <c r="B73" t="s">
        <v>215</v>
      </c>
      <c r="C73" t="str">
        <f>CONCATENATE(A73, " ",B73)</f>
        <v>Jalen Brunson</v>
      </c>
      <c r="D73" t="s">
        <v>28</v>
      </c>
      <c r="E73" s="2">
        <v>45079</v>
      </c>
      <c r="F73" s="3">
        <f t="shared" si="4"/>
        <v>6</v>
      </c>
      <c r="G73" s="3">
        <f t="shared" si="7"/>
        <v>2</v>
      </c>
      <c r="H73" s="2" t="str">
        <f t="shared" si="5"/>
        <v>6' 2"</v>
      </c>
      <c r="I73">
        <v>190</v>
      </c>
      <c r="J73" s="1">
        <v>35308</v>
      </c>
      <c r="K73" t="s">
        <v>24</v>
      </c>
      <c r="L73" t="s">
        <v>68</v>
      </c>
      <c r="M73">
        <v>2018</v>
      </c>
      <c r="N73" t="str">
        <f t="shared" si="6"/>
        <v>Drafted</v>
      </c>
      <c r="O73">
        <v>2</v>
      </c>
      <c r="P73">
        <v>33</v>
      </c>
    </row>
    <row r="74" spans="1:16" x14ac:dyDescent="0.35">
      <c r="A74" t="s">
        <v>216</v>
      </c>
      <c r="B74" t="s">
        <v>217</v>
      </c>
      <c r="C74" t="str">
        <f>CONCATENATE(A74, " ",B74)</f>
        <v>Thomas Bryant</v>
      </c>
      <c r="D74" t="s">
        <v>23</v>
      </c>
      <c r="E74" s="2">
        <v>45087</v>
      </c>
      <c r="F74" s="3">
        <f t="shared" si="4"/>
        <v>6</v>
      </c>
      <c r="G74" s="3">
        <f t="shared" si="7"/>
        <v>10</v>
      </c>
      <c r="H74" s="2" t="str">
        <f t="shared" si="5"/>
        <v>6' 10"</v>
      </c>
      <c r="I74">
        <v>248</v>
      </c>
      <c r="J74" s="1">
        <v>35642</v>
      </c>
      <c r="K74" t="s">
        <v>24</v>
      </c>
      <c r="L74" t="s">
        <v>65</v>
      </c>
      <c r="M74">
        <v>2017</v>
      </c>
      <c r="N74" t="str">
        <f t="shared" si="6"/>
        <v>Drafted</v>
      </c>
      <c r="O74">
        <v>2</v>
      </c>
      <c r="P74">
        <v>42</v>
      </c>
    </row>
    <row r="75" spans="1:16" x14ac:dyDescent="0.35">
      <c r="A75" t="s">
        <v>218</v>
      </c>
      <c r="B75" t="s">
        <v>219</v>
      </c>
      <c r="C75" t="str">
        <f>CONCATENATE(A75, " ",B75)</f>
        <v>Reggie Bullock</v>
      </c>
      <c r="D75" t="s">
        <v>122</v>
      </c>
      <c r="E75" s="2">
        <v>45083</v>
      </c>
      <c r="F75" s="3">
        <f t="shared" si="4"/>
        <v>6</v>
      </c>
      <c r="G75" s="3">
        <f t="shared" si="7"/>
        <v>6</v>
      </c>
      <c r="H75" s="2" t="str">
        <f t="shared" si="5"/>
        <v>6' 6"</v>
      </c>
      <c r="I75">
        <v>205</v>
      </c>
      <c r="J75" s="1">
        <v>33313</v>
      </c>
      <c r="K75" t="s">
        <v>24</v>
      </c>
      <c r="L75" t="s">
        <v>61</v>
      </c>
      <c r="M75">
        <v>2013</v>
      </c>
      <c r="N75" t="str">
        <f t="shared" si="6"/>
        <v>Drafted</v>
      </c>
      <c r="O75">
        <v>1</v>
      </c>
      <c r="P75">
        <v>25</v>
      </c>
    </row>
    <row r="76" spans="1:16" x14ac:dyDescent="0.35">
      <c r="A76" t="s">
        <v>220</v>
      </c>
      <c r="B76" t="s">
        <v>221</v>
      </c>
      <c r="C76" t="str">
        <f>CONCATENATE(A76, " ",B76)</f>
        <v>Alec Burks</v>
      </c>
      <c r="D76" t="s">
        <v>28</v>
      </c>
      <c r="E76" s="2">
        <v>45083</v>
      </c>
      <c r="F76" s="3">
        <f t="shared" si="4"/>
        <v>6</v>
      </c>
      <c r="G76" s="3">
        <f t="shared" si="7"/>
        <v>6</v>
      </c>
      <c r="H76" s="2" t="str">
        <f t="shared" si="5"/>
        <v>6' 6"</v>
      </c>
      <c r="I76">
        <v>214</v>
      </c>
      <c r="J76" s="1">
        <v>33439</v>
      </c>
      <c r="K76" t="s">
        <v>24</v>
      </c>
      <c r="L76" t="s">
        <v>222</v>
      </c>
      <c r="M76">
        <v>2011</v>
      </c>
      <c r="N76" t="str">
        <f t="shared" si="6"/>
        <v>Drafted</v>
      </c>
      <c r="O76">
        <v>1</v>
      </c>
      <c r="P76">
        <v>12</v>
      </c>
    </row>
    <row r="77" spans="1:16" x14ac:dyDescent="0.35">
      <c r="A77" t="s">
        <v>223</v>
      </c>
      <c r="B77" t="s">
        <v>224</v>
      </c>
      <c r="C77" t="str">
        <f>CONCATENATE(A77, " ",B77)</f>
        <v>Deonte Burton</v>
      </c>
      <c r="D77" t="s">
        <v>122</v>
      </c>
      <c r="E77" s="2">
        <v>45081</v>
      </c>
      <c r="F77" s="3">
        <f t="shared" si="4"/>
        <v>6</v>
      </c>
      <c r="G77" s="3">
        <f t="shared" si="7"/>
        <v>4</v>
      </c>
      <c r="H77" s="2" t="str">
        <f t="shared" si="5"/>
        <v>6' 4"</v>
      </c>
      <c r="I77">
        <v>240</v>
      </c>
      <c r="J77" s="1">
        <v>34365</v>
      </c>
      <c r="K77" t="s">
        <v>24</v>
      </c>
      <c r="L77" t="s">
        <v>225</v>
      </c>
      <c r="M77">
        <v>2018</v>
      </c>
      <c r="N77" t="str">
        <f t="shared" si="6"/>
        <v>Undrafted</v>
      </c>
    </row>
    <row r="78" spans="1:16" x14ac:dyDescent="0.35">
      <c r="A78" t="s">
        <v>226</v>
      </c>
      <c r="B78" t="s">
        <v>227</v>
      </c>
      <c r="C78" t="str">
        <f>CONCATENATE(A78, " ",B78)</f>
        <v>Jared Butler</v>
      </c>
      <c r="D78" t="s">
        <v>28</v>
      </c>
      <c r="E78" s="2">
        <v>45080</v>
      </c>
      <c r="F78" s="3">
        <f t="shared" si="4"/>
        <v>6</v>
      </c>
      <c r="G78" s="3">
        <f t="shared" si="7"/>
        <v>3</v>
      </c>
      <c r="H78" s="2" t="str">
        <f t="shared" si="5"/>
        <v>6' 3"</v>
      </c>
      <c r="I78">
        <v>193</v>
      </c>
      <c r="J78" s="1">
        <v>36763</v>
      </c>
      <c r="K78" t="s">
        <v>24</v>
      </c>
      <c r="L78" t="s">
        <v>206</v>
      </c>
      <c r="M78">
        <v>2021</v>
      </c>
      <c r="N78" t="str">
        <f t="shared" si="6"/>
        <v>Drafted</v>
      </c>
      <c r="O78">
        <v>2</v>
      </c>
      <c r="P78">
        <v>40</v>
      </c>
    </row>
    <row r="79" spans="1:16" x14ac:dyDescent="0.35">
      <c r="A79" t="s">
        <v>228</v>
      </c>
      <c r="B79" t="s">
        <v>227</v>
      </c>
      <c r="C79" t="str">
        <f>CONCATENATE(A79, " ",B79)</f>
        <v>Jimmy Butler</v>
      </c>
      <c r="D79" t="s">
        <v>13</v>
      </c>
      <c r="E79" s="2">
        <v>45084</v>
      </c>
      <c r="F79" s="3">
        <f t="shared" si="4"/>
        <v>6</v>
      </c>
      <c r="G79" s="3">
        <f t="shared" si="7"/>
        <v>7</v>
      </c>
      <c r="H79" s="2" t="str">
        <f t="shared" si="5"/>
        <v>6' 7"</v>
      </c>
      <c r="I79">
        <v>230</v>
      </c>
      <c r="J79" s="1">
        <v>32765</v>
      </c>
      <c r="K79" t="s">
        <v>24</v>
      </c>
      <c r="L79" t="s">
        <v>229</v>
      </c>
      <c r="M79">
        <v>2011</v>
      </c>
      <c r="N79" t="str">
        <f t="shared" si="6"/>
        <v>Drafted</v>
      </c>
      <c r="O79">
        <v>1</v>
      </c>
      <c r="P79">
        <v>30</v>
      </c>
    </row>
    <row r="80" spans="1:16" x14ac:dyDescent="0.35">
      <c r="A80" t="s">
        <v>230</v>
      </c>
      <c r="B80" t="s">
        <v>231</v>
      </c>
      <c r="C80" t="str">
        <f>CONCATENATE(A80, " ",B80)</f>
        <v>John Butler Jr.</v>
      </c>
      <c r="D80" t="s">
        <v>13</v>
      </c>
      <c r="E80" s="2">
        <v>36708</v>
      </c>
      <c r="F80" s="3">
        <f t="shared" si="4"/>
        <v>7</v>
      </c>
      <c r="G80" s="3">
        <f t="shared" si="7"/>
        <v>1</v>
      </c>
      <c r="H80" s="2" t="str">
        <f t="shared" si="5"/>
        <v>7' 1"</v>
      </c>
      <c r="I80">
        <v>190</v>
      </c>
      <c r="J80" s="1">
        <v>37594</v>
      </c>
      <c r="K80" t="s">
        <v>24</v>
      </c>
      <c r="L80" t="s">
        <v>109</v>
      </c>
      <c r="M80">
        <v>2022</v>
      </c>
      <c r="N80" t="str">
        <f t="shared" si="6"/>
        <v>Undrafted</v>
      </c>
    </row>
    <row r="81" spans="1:16" x14ac:dyDescent="0.35">
      <c r="A81" t="s">
        <v>232</v>
      </c>
      <c r="B81" t="s">
        <v>233</v>
      </c>
      <c r="C81" t="str">
        <f>CONCATENATE(A81, " ",B81)</f>
        <v>Jamal Cain</v>
      </c>
      <c r="D81" t="s">
        <v>13</v>
      </c>
      <c r="E81" s="2">
        <v>45083</v>
      </c>
      <c r="F81" s="3">
        <f t="shared" si="4"/>
        <v>6</v>
      </c>
      <c r="G81" s="3">
        <f t="shared" si="7"/>
        <v>6</v>
      </c>
      <c r="H81" s="2" t="str">
        <f t="shared" si="5"/>
        <v>6' 6"</v>
      </c>
      <c r="I81">
        <v>191</v>
      </c>
      <c r="J81" s="1">
        <v>36239</v>
      </c>
      <c r="K81" t="s">
        <v>24</v>
      </c>
      <c r="L81" t="s">
        <v>234</v>
      </c>
      <c r="M81">
        <v>2022</v>
      </c>
      <c r="N81" t="str">
        <f t="shared" si="6"/>
        <v>Undrafted</v>
      </c>
    </row>
    <row r="82" spans="1:16" x14ac:dyDescent="0.35">
      <c r="A82" t="s">
        <v>235</v>
      </c>
      <c r="B82" t="s">
        <v>236</v>
      </c>
      <c r="C82" t="str">
        <f>CONCATENATE(A82, " ",B82)</f>
        <v>Kentavious Caldwell-Pope</v>
      </c>
      <c r="D82" t="s">
        <v>28</v>
      </c>
      <c r="E82" s="2">
        <v>45082</v>
      </c>
      <c r="F82" s="3">
        <f t="shared" si="4"/>
        <v>6</v>
      </c>
      <c r="G82" s="3">
        <f t="shared" si="7"/>
        <v>5</v>
      </c>
      <c r="H82" s="2" t="str">
        <f t="shared" si="5"/>
        <v>6' 5"</v>
      </c>
      <c r="I82">
        <v>204</v>
      </c>
      <c r="J82" s="1">
        <v>34018</v>
      </c>
      <c r="K82" t="s">
        <v>24</v>
      </c>
      <c r="L82" t="s">
        <v>149</v>
      </c>
      <c r="M82">
        <v>2013</v>
      </c>
      <c r="N82" t="str">
        <f t="shared" si="6"/>
        <v>Drafted</v>
      </c>
      <c r="O82">
        <v>1</v>
      </c>
      <c r="P82">
        <v>8</v>
      </c>
    </row>
    <row r="83" spans="1:16" x14ac:dyDescent="0.35">
      <c r="A83" t="s">
        <v>237</v>
      </c>
      <c r="B83" t="s">
        <v>238</v>
      </c>
      <c r="C83" t="str">
        <f>CONCATENATE(A83, " ",B83)</f>
        <v>Facundo Campazzo</v>
      </c>
      <c r="D83" t="s">
        <v>28</v>
      </c>
      <c r="E83" s="2">
        <v>45056</v>
      </c>
      <c r="F83" s="3">
        <f t="shared" si="4"/>
        <v>5</v>
      </c>
      <c r="G83" s="3">
        <f t="shared" si="7"/>
        <v>10</v>
      </c>
      <c r="H83" s="2" t="str">
        <f t="shared" si="5"/>
        <v>5' 10"</v>
      </c>
      <c r="I83">
        <v>195</v>
      </c>
      <c r="J83" s="1">
        <v>33320</v>
      </c>
      <c r="K83" t="s">
        <v>169</v>
      </c>
      <c r="M83">
        <v>2020</v>
      </c>
      <c r="N83" t="str">
        <f t="shared" si="6"/>
        <v>Undrafted</v>
      </c>
    </row>
    <row r="84" spans="1:16" x14ac:dyDescent="0.35">
      <c r="A84" t="s">
        <v>239</v>
      </c>
      <c r="B84" t="s">
        <v>240</v>
      </c>
      <c r="C84" t="str">
        <f>CONCATENATE(A84, " ",B84)</f>
        <v>Vlatko Cancar</v>
      </c>
      <c r="D84" t="s">
        <v>13</v>
      </c>
      <c r="E84" s="2">
        <v>45085</v>
      </c>
      <c r="F84" s="3">
        <f t="shared" si="4"/>
        <v>6</v>
      </c>
      <c r="G84" s="3">
        <f t="shared" si="7"/>
        <v>8</v>
      </c>
      <c r="H84" s="2" t="str">
        <f t="shared" si="5"/>
        <v>6' 8"</v>
      </c>
      <c r="I84">
        <v>236</v>
      </c>
      <c r="J84" s="1">
        <v>35530</v>
      </c>
      <c r="K84" t="s">
        <v>241</v>
      </c>
      <c r="L84" t="s">
        <v>242</v>
      </c>
      <c r="M84">
        <v>2017</v>
      </c>
      <c r="N84" t="str">
        <f t="shared" si="6"/>
        <v>Drafted</v>
      </c>
      <c r="O84">
        <v>2</v>
      </c>
      <c r="P84">
        <v>49</v>
      </c>
    </row>
    <row r="85" spans="1:16" x14ac:dyDescent="0.35">
      <c r="A85" t="s">
        <v>243</v>
      </c>
      <c r="B85" t="s">
        <v>244</v>
      </c>
      <c r="C85" t="str">
        <f>CONCATENATE(A85, " ",B85)</f>
        <v>Clint Capela</v>
      </c>
      <c r="D85" t="s">
        <v>18</v>
      </c>
      <c r="E85" s="2">
        <v>45087</v>
      </c>
      <c r="F85" s="3">
        <f t="shared" si="4"/>
        <v>6</v>
      </c>
      <c r="G85" s="3">
        <f t="shared" si="7"/>
        <v>10</v>
      </c>
      <c r="H85" s="2" t="str">
        <f t="shared" si="5"/>
        <v>6' 10"</v>
      </c>
      <c r="I85">
        <v>256</v>
      </c>
      <c r="J85" s="1">
        <v>34472</v>
      </c>
      <c r="K85" t="s">
        <v>245</v>
      </c>
      <c r="L85" t="s">
        <v>246</v>
      </c>
      <c r="M85">
        <v>2014</v>
      </c>
      <c r="N85" t="str">
        <f t="shared" si="6"/>
        <v>Drafted</v>
      </c>
      <c r="O85">
        <v>1</v>
      </c>
      <c r="P85">
        <v>25</v>
      </c>
    </row>
    <row r="86" spans="1:16" x14ac:dyDescent="0.35">
      <c r="A86" t="s">
        <v>247</v>
      </c>
      <c r="B86" t="s">
        <v>248</v>
      </c>
      <c r="C86" t="str">
        <f>CONCATENATE(A86, " ",B86)</f>
        <v>Vernon Carey Jr.</v>
      </c>
      <c r="D86" t="s">
        <v>18</v>
      </c>
      <c r="E86" s="2">
        <v>45087</v>
      </c>
      <c r="F86" s="3">
        <f t="shared" si="4"/>
        <v>6</v>
      </c>
      <c r="G86" s="3">
        <f t="shared" si="7"/>
        <v>10</v>
      </c>
      <c r="H86" s="2" t="str">
        <f t="shared" si="5"/>
        <v>6' 10"</v>
      </c>
      <c r="I86">
        <v>270</v>
      </c>
      <c r="J86" s="1">
        <v>36947</v>
      </c>
      <c r="K86" t="s">
        <v>24</v>
      </c>
      <c r="L86" t="s">
        <v>41</v>
      </c>
      <c r="M86">
        <v>2020</v>
      </c>
      <c r="N86" t="str">
        <f t="shared" si="6"/>
        <v>Drafted</v>
      </c>
      <c r="O86">
        <v>2</v>
      </c>
      <c r="P86">
        <v>32</v>
      </c>
    </row>
    <row r="87" spans="1:16" x14ac:dyDescent="0.35">
      <c r="A87" t="s">
        <v>249</v>
      </c>
      <c r="B87" t="s">
        <v>250</v>
      </c>
      <c r="C87" t="str">
        <f>CONCATENATE(A87, " ",B87)</f>
        <v>Jevon Carter</v>
      </c>
      <c r="D87" t="s">
        <v>28</v>
      </c>
      <c r="E87" s="2">
        <v>45078</v>
      </c>
      <c r="F87" s="3">
        <f t="shared" si="4"/>
        <v>6</v>
      </c>
      <c r="G87" s="3">
        <f t="shared" si="7"/>
        <v>1</v>
      </c>
      <c r="H87" s="2" t="str">
        <f t="shared" si="5"/>
        <v>6' 1"</v>
      </c>
      <c r="I87">
        <v>200</v>
      </c>
      <c r="J87" s="1">
        <v>34956</v>
      </c>
      <c r="K87" t="s">
        <v>24</v>
      </c>
      <c r="L87" t="s">
        <v>251</v>
      </c>
      <c r="M87">
        <v>2018</v>
      </c>
      <c r="N87" t="str">
        <f t="shared" si="6"/>
        <v>Drafted</v>
      </c>
      <c r="O87">
        <v>2</v>
      </c>
      <c r="P87">
        <v>32</v>
      </c>
    </row>
    <row r="88" spans="1:16" x14ac:dyDescent="0.35">
      <c r="A88" t="s">
        <v>252</v>
      </c>
      <c r="B88" t="s">
        <v>253</v>
      </c>
      <c r="C88" t="str">
        <f>CONCATENATE(A88, " ",B88)</f>
        <v>Wendell Carter Jr.</v>
      </c>
      <c r="D88" t="s">
        <v>23</v>
      </c>
      <c r="E88" s="2">
        <v>45087</v>
      </c>
      <c r="F88" s="3">
        <f t="shared" si="4"/>
        <v>6</v>
      </c>
      <c r="G88" s="3">
        <f t="shared" si="7"/>
        <v>10</v>
      </c>
      <c r="H88" s="2" t="str">
        <f t="shared" si="5"/>
        <v>6' 10"</v>
      </c>
      <c r="I88">
        <v>270</v>
      </c>
      <c r="J88" s="1">
        <v>36266</v>
      </c>
      <c r="K88" t="s">
        <v>24</v>
      </c>
      <c r="L88" t="s">
        <v>41</v>
      </c>
      <c r="M88">
        <v>2018</v>
      </c>
      <c r="N88" t="str">
        <f t="shared" si="6"/>
        <v>Drafted</v>
      </c>
      <c r="O88">
        <v>1</v>
      </c>
      <c r="P88">
        <v>7</v>
      </c>
    </row>
    <row r="89" spans="1:16" x14ac:dyDescent="0.35">
      <c r="A89" t="s">
        <v>254</v>
      </c>
      <c r="B89" t="s">
        <v>255</v>
      </c>
      <c r="C89" t="str">
        <f>CONCATENATE(A89, " ",B89)</f>
        <v>Michael Carter-Williams</v>
      </c>
      <c r="D89" t="s">
        <v>28</v>
      </c>
      <c r="E89" s="2">
        <v>45082</v>
      </c>
      <c r="F89" s="3">
        <f t="shared" si="4"/>
        <v>6</v>
      </c>
      <c r="G89" s="3">
        <f t="shared" si="7"/>
        <v>5</v>
      </c>
      <c r="H89" s="2" t="str">
        <f t="shared" si="5"/>
        <v>6' 5"</v>
      </c>
      <c r="I89">
        <v>190</v>
      </c>
      <c r="J89" s="1">
        <v>33521</v>
      </c>
      <c r="K89" t="s">
        <v>24</v>
      </c>
      <c r="L89" t="s">
        <v>157</v>
      </c>
      <c r="M89">
        <v>2013</v>
      </c>
      <c r="N89" t="str">
        <f t="shared" si="6"/>
        <v>Drafted</v>
      </c>
      <c r="O89">
        <v>1</v>
      </c>
      <c r="P89">
        <v>11</v>
      </c>
    </row>
    <row r="90" spans="1:16" x14ac:dyDescent="0.35">
      <c r="A90" t="s">
        <v>256</v>
      </c>
      <c r="B90" t="s">
        <v>257</v>
      </c>
      <c r="C90" t="str">
        <f>CONCATENATE(A90, " ",B90)</f>
        <v>Alex Caruso</v>
      </c>
      <c r="D90" t="s">
        <v>28</v>
      </c>
      <c r="E90" s="2">
        <v>45082</v>
      </c>
      <c r="F90" s="3">
        <f t="shared" si="4"/>
        <v>6</v>
      </c>
      <c r="G90" s="3">
        <f t="shared" si="7"/>
        <v>5</v>
      </c>
      <c r="H90" s="2" t="str">
        <f t="shared" si="5"/>
        <v>6' 5"</v>
      </c>
      <c r="I90">
        <v>186</v>
      </c>
      <c r="J90" s="1">
        <v>34393</v>
      </c>
      <c r="K90" t="s">
        <v>24</v>
      </c>
      <c r="L90" t="s">
        <v>258</v>
      </c>
      <c r="M90">
        <v>2017</v>
      </c>
      <c r="N90" t="str">
        <f t="shared" si="6"/>
        <v>Undrafted</v>
      </c>
    </row>
    <row r="91" spans="1:16" x14ac:dyDescent="0.35">
      <c r="A91" t="s">
        <v>259</v>
      </c>
      <c r="B91" t="s">
        <v>260</v>
      </c>
      <c r="C91" t="str">
        <f>CONCATENATE(A91, " ",B91)</f>
        <v>Willie Cauley-Stein</v>
      </c>
      <c r="D91" t="s">
        <v>18</v>
      </c>
      <c r="E91" s="2">
        <v>36708</v>
      </c>
      <c r="F91" s="3">
        <f t="shared" si="4"/>
        <v>7</v>
      </c>
      <c r="G91" s="3">
        <f t="shared" si="7"/>
        <v>1</v>
      </c>
      <c r="H91" s="2" t="str">
        <f t="shared" si="5"/>
        <v>7' 1"</v>
      </c>
      <c r="I91">
        <v>240</v>
      </c>
      <c r="J91" s="1">
        <v>34199</v>
      </c>
      <c r="K91" t="s">
        <v>24</v>
      </c>
      <c r="L91" t="s">
        <v>25</v>
      </c>
      <c r="M91">
        <v>2015</v>
      </c>
      <c r="N91" t="str">
        <f t="shared" si="6"/>
        <v>Drafted</v>
      </c>
      <c r="O91">
        <v>1</v>
      </c>
      <c r="P91">
        <v>6</v>
      </c>
    </row>
    <row r="92" spans="1:16" x14ac:dyDescent="0.35">
      <c r="A92" t="s">
        <v>261</v>
      </c>
      <c r="B92" t="s">
        <v>262</v>
      </c>
      <c r="C92" t="str">
        <f>CONCATENATE(A92, " ",B92)</f>
        <v>Julian Champagnie</v>
      </c>
      <c r="D92" t="s">
        <v>13</v>
      </c>
      <c r="E92" s="2">
        <v>45084</v>
      </c>
      <c r="F92" s="3">
        <f t="shared" si="4"/>
        <v>6</v>
      </c>
      <c r="G92" s="3">
        <f t="shared" si="7"/>
        <v>7</v>
      </c>
      <c r="H92" s="2" t="str">
        <f t="shared" si="5"/>
        <v>6' 7"</v>
      </c>
      <c r="I92">
        <v>217</v>
      </c>
      <c r="J92" s="1">
        <v>37071</v>
      </c>
      <c r="K92" t="s">
        <v>24</v>
      </c>
      <c r="L92" t="s">
        <v>263</v>
      </c>
      <c r="M92">
        <v>2022</v>
      </c>
      <c r="N92" t="str">
        <f t="shared" si="6"/>
        <v>Undrafted</v>
      </c>
    </row>
    <row r="93" spans="1:16" x14ac:dyDescent="0.35">
      <c r="A93" t="s">
        <v>264</v>
      </c>
      <c r="B93" t="s">
        <v>262</v>
      </c>
      <c r="C93" t="str">
        <f>CONCATENATE(A93, " ",B93)</f>
        <v>Justin Champagnie</v>
      </c>
      <c r="D93" t="s">
        <v>122</v>
      </c>
      <c r="E93" s="2">
        <v>45083</v>
      </c>
      <c r="F93" s="3">
        <f t="shared" si="4"/>
        <v>6</v>
      </c>
      <c r="G93" s="3">
        <f t="shared" si="7"/>
        <v>6</v>
      </c>
      <c r="H93" s="2" t="str">
        <f t="shared" si="5"/>
        <v>6' 6"</v>
      </c>
      <c r="I93">
        <v>206</v>
      </c>
      <c r="J93" s="1">
        <v>37071</v>
      </c>
      <c r="K93" t="s">
        <v>24</v>
      </c>
      <c r="L93" t="s">
        <v>20</v>
      </c>
      <c r="M93">
        <v>2021</v>
      </c>
      <c r="N93" t="str">
        <f t="shared" si="6"/>
        <v>Undrafted</v>
      </c>
    </row>
    <row r="94" spans="1:16" x14ac:dyDescent="0.35">
      <c r="A94" t="s">
        <v>265</v>
      </c>
      <c r="B94" t="s">
        <v>266</v>
      </c>
      <c r="C94" t="str">
        <f>CONCATENATE(A94, " ",B94)</f>
        <v>Kennedy Chandler</v>
      </c>
      <c r="D94" t="s">
        <v>28</v>
      </c>
      <c r="E94" s="2">
        <v>45057</v>
      </c>
      <c r="F94" s="3">
        <f t="shared" si="4"/>
        <v>5</v>
      </c>
      <c r="G94" s="3">
        <f t="shared" si="7"/>
        <v>11</v>
      </c>
      <c r="H94" s="2" t="str">
        <f t="shared" si="5"/>
        <v>5' 11"</v>
      </c>
      <c r="I94">
        <v>170</v>
      </c>
      <c r="J94" s="1">
        <v>37515</v>
      </c>
      <c r="K94" t="s">
        <v>24</v>
      </c>
      <c r="L94" t="s">
        <v>267</v>
      </c>
      <c r="M94">
        <v>2022</v>
      </c>
      <c r="N94" t="str">
        <f t="shared" si="6"/>
        <v>Drafted</v>
      </c>
      <c r="O94">
        <v>2</v>
      </c>
      <c r="P94">
        <v>38</v>
      </c>
    </row>
    <row r="95" spans="1:16" x14ac:dyDescent="0.35">
      <c r="A95" t="s">
        <v>268</v>
      </c>
      <c r="B95" t="s">
        <v>269</v>
      </c>
      <c r="C95" t="str">
        <f>CONCATENATE(A95, " ",B95)</f>
        <v>Max Christie</v>
      </c>
      <c r="D95" t="s">
        <v>28</v>
      </c>
      <c r="E95" s="2">
        <v>45082</v>
      </c>
      <c r="F95" s="3">
        <f t="shared" si="4"/>
        <v>6</v>
      </c>
      <c r="G95" s="3">
        <f t="shared" si="7"/>
        <v>5</v>
      </c>
      <c r="H95" s="2" t="str">
        <f t="shared" si="5"/>
        <v>6' 5"</v>
      </c>
      <c r="I95">
        <v>190</v>
      </c>
      <c r="J95" s="1">
        <v>37662</v>
      </c>
      <c r="K95" t="s">
        <v>24</v>
      </c>
      <c r="L95" t="s">
        <v>270</v>
      </c>
      <c r="M95">
        <v>2022</v>
      </c>
      <c r="N95" t="str">
        <f t="shared" si="6"/>
        <v>Drafted</v>
      </c>
      <c r="O95">
        <v>2</v>
      </c>
      <c r="P95">
        <v>35</v>
      </c>
    </row>
    <row r="96" spans="1:16" x14ac:dyDescent="0.35">
      <c r="A96" t="s">
        <v>271</v>
      </c>
      <c r="B96" t="s">
        <v>272</v>
      </c>
      <c r="C96" t="str">
        <f>CONCATENATE(A96, " ",B96)</f>
        <v>Josh Christopher</v>
      </c>
      <c r="D96" t="s">
        <v>28</v>
      </c>
      <c r="E96" s="2">
        <v>45081</v>
      </c>
      <c r="F96" s="3">
        <f t="shared" si="4"/>
        <v>6</v>
      </c>
      <c r="G96" s="3">
        <f t="shared" si="7"/>
        <v>4</v>
      </c>
      <c r="H96" s="2" t="str">
        <f t="shared" si="5"/>
        <v>6' 4"</v>
      </c>
      <c r="I96">
        <v>215</v>
      </c>
      <c r="J96" s="1">
        <v>37233</v>
      </c>
      <c r="K96" t="s">
        <v>24</v>
      </c>
      <c r="L96" t="s">
        <v>273</v>
      </c>
      <c r="M96">
        <v>2021</v>
      </c>
      <c r="N96" t="str">
        <f t="shared" si="6"/>
        <v>Drafted</v>
      </c>
      <c r="O96">
        <v>1</v>
      </c>
      <c r="P96">
        <v>24</v>
      </c>
    </row>
    <row r="97" spans="1:16" x14ac:dyDescent="0.35">
      <c r="A97" t="s">
        <v>172</v>
      </c>
      <c r="B97" t="s">
        <v>274</v>
      </c>
      <c r="C97" t="str">
        <f>CONCATENATE(A97, " ",B97)</f>
        <v>Brandon Clarke</v>
      </c>
      <c r="D97" t="s">
        <v>13</v>
      </c>
      <c r="E97" s="2">
        <v>45085</v>
      </c>
      <c r="F97" s="3">
        <f t="shared" si="4"/>
        <v>6</v>
      </c>
      <c r="G97" s="3">
        <f t="shared" si="7"/>
        <v>8</v>
      </c>
      <c r="H97" s="2" t="str">
        <f t="shared" si="5"/>
        <v>6' 8"</v>
      </c>
      <c r="I97">
        <v>215</v>
      </c>
      <c r="J97" s="1">
        <v>35327</v>
      </c>
      <c r="K97" t="s">
        <v>37</v>
      </c>
      <c r="L97" t="s">
        <v>275</v>
      </c>
      <c r="M97">
        <v>2019</v>
      </c>
      <c r="N97" t="str">
        <f t="shared" si="6"/>
        <v>Drafted</v>
      </c>
      <c r="O97">
        <v>1</v>
      </c>
      <c r="P97">
        <v>21</v>
      </c>
    </row>
    <row r="98" spans="1:16" x14ac:dyDescent="0.35">
      <c r="A98" t="s">
        <v>276</v>
      </c>
      <c r="B98" t="s">
        <v>277</v>
      </c>
      <c r="C98" t="str">
        <f>CONCATENATE(A98, " ",B98)</f>
        <v>Jordan Clarkson</v>
      </c>
      <c r="D98" t="s">
        <v>28</v>
      </c>
      <c r="E98" s="2">
        <v>45082</v>
      </c>
      <c r="F98" s="3">
        <f t="shared" si="4"/>
        <v>6</v>
      </c>
      <c r="G98" s="3">
        <f t="shared" si="7"/>
        <v>5</v>
      </c>
      <c r="H98" s="2" t="str">
        <f t="shared" si="5"/>
        <v>6' 5"</v>
      </c>
      <c r="I98">
        <v>194</v>
      </c>
      <c r="J98" s="1">
        <v>33762</v>
      </c>
      <c r="K98" t="s">
        <v>24</v>
      </c>
      <c r="L98" t="s">
        <v>278</v>
      </c>
      <c r="M98">
        <v>2014</v>
      </c>
      <c r="N98" t="str">
        <f t="shared" si="6"/>
        <v>Drafted</v>
      </c>
      <c r="O98">
        <v>2</v>
      </c>
      <c r="P98">
        <v>46</v>
      </c>
    </row>
    <row r="99" spans="1:16" x14ac:dyDescent="0.35">
      <c r="A99" t="s">
        <v>279</v>
      </c>
      <c r="B99" t="s">
        <v>280</v>
      </c>
      <c r="C99" t="str">
        <f>CONCATENATE(A99, " ",B99)</f>
        <v>Nic Claxton</v>
      </c>
      <c r="D99" t="s">
        <v>18</v>
      </c>
      <c r="E99" s="2">
        <v>45088</v>
      </c>
      <c r="F99" s="3">
        <f t="shared" si="4"/>
        <v>6</v>
      </c>
      <c r="G99" s="3">
        <f t="shared" si="7"/>
        <v>11</v>
      </c>
      <c r="H99" s="2" t="str">
        <f t="shared" si="5"/>
        <v>6' 11"</v>
      </c>
      <c r="I99">
        <v>215</v>
      </c>
      <c r="J99" s="1">
        <v>36267</v>
      </c>
      <c r="K99" t="s">
        <v>24</v>
      </c>
      <c r="L99" t="s">
        <v>149</v>
      </c>
      <c r="M99">
        <v>2019</v>
      </c>
      <c r="N99" t="str">
        <f t="shared" si="6"/>
        <v>Drafted</v>
      </c>
      <c r="O99">
        <v>2</v>
      </c>
      <c r="P99">
        <v>31</v>
      </c>
    </row>
    <row r="100" spans="1:16" x14ac:dyDescent="0.35">
      <c r="A100" t="s">
        <v>281</v>
      </c>
      <c r="B100" t="s">
        <v>282</v>
      </c>
      <c r="C100" t="str">
        <f>CONCATENATE(A100, " ",B100)</f>
        <v>Amir Coffey</v>
      </c>
      <c r="D100" t="s">
        <v>122</v>
      </c>
      <c r="E100" s="2">
        <v>45084</v>
      </c>
      <c r="F100" s="3">
        <f t="shared" si="4"/>
        <v>6</v>
      </c>
      <c r="G100" s="3">
        <f t="shared" si="7"/>
        <v>7</v>
      </c>
      <c r="H100" s="2" t="str">
        <f t="shared" si="5"/>
        <v>6' 7"</v>
      </c>
      <c r="I100">
        <v>210</v>
      </c>
      <c r="J100" s="1">
        <v>35598</v>
      </c>
      <c r="K100" t="s">
        <v>24</v>
      </c>
      <c r="L100" t="s">
        <v>283</v>
      </c>
      <c r="M100">
        <v>2019</v>
      </c>
      <c r="N100" t="str">
        <f t="shared" si="6"/>
        <v>Undrafted</v>
      </c>
    </row>
    <row r="101" spans="1:16" x14ac:dyDescent="0.35">
      <c r="A101" t="s">
        <v>230</v>
      </c>
      <c r="B101" t="s">
        <v>284</v>
      </c>
      <c r="C101" t="str">
        <f>CONCATENATE(A101, " ",B101)</f>
        <v>John Collins</v>
      </c>
      <c r="D101" t="s">
        <v>32</v>
      </c>
      <c r="E101" s="2">
        <v>45086</v>
      </c>
      <c r="F101" s="3">
        <f t="shared" si="4"/>
        <v>6</v>
      </c>
      <c r="G101" s="3">
        <f t="shared" si="7"/>
        <v>9</v>
      </c>
      <c r="H101" s="2" t="str">
        <f t="shared" si="5"/>
        <v>6' 9"</v>
      </c>
      <c r="I101">
        <v>226</v>
      </c>
      <c r="J101" s="1">
        <v>35696</v>
      </c>
      <c r="K101" t="s">
        <v>24</v>
      </c>
      <c r="L101" t="s">
        <v>285</v>
      </c>
      <c r="M101">
        <v>2017</v>
      </c>
      <c r="N101" t="str">
        <f t="shared" si="6"/>
        <v>Drafted</v>
      </c>
      <c r="O101">
        <v>1</v>
      </c>
      <c r="P101">
        <v>19</v>
      </c>
    </row>
    <row r="102" spans="1:16" x14ac:dyDescent="0.35">
      <c r="A102" t="s">
        <v>286</v>
      </c>
      <c r="B102" t="s">
        <v>284</v>
      </c>
      <c r="C102" t="str">
        <f>CONCATENATE(A102, " ",B102)</f>
        <v>Zach Collins</v>
      </c>
      <c r="D102" t="s">
        <v>32</v>
      </c>
      <c r="E102" s="2">
        <v>45088</v>
      </c>
      <c r="F102" s="3">
        <f t="shared" si="4"/>
        <v>6</v>
      </c>
      <c r="G102" s="3">
        <f t="shared" si="7"/>
        <v>11</v>
      </c>
      <c r="H102" s="2" t="str">
        <f t="shared" si="5"/>
        <v>6' 11"</v>
      </c>
      <c r="I102">
        <v>250</v>
      </c>
      <c r="J102" s="1">
        <v>35753</v>
      </c>
      <c r="K102" t="s">
        <v>24</v>
      </c>
      <c r="L102" t="s">
        <v>275</v>
      </c>
      <c r="M102">
        <v>2017</v>
      </c>
      <c r="N102" t="str">
        <f t="shared" si="6"/>
        <v>Drafted</v>
      </c>
      <c r="O102">
        <v>1</v>
      </c>
      <c r="P102">
        <v>10</v>
      </c>
    </row>
    <row r="103" spans="1:16" x14ac:dyDescent="0.35">
      <c r="A103" t="s">
        <v>287</v>
      </c>
      <c r="B103" t="s">
        <v>288</v>
      </c>
      <c r="C103" t="str">
        <f>CONCATENATE(A103, " ",B103)</f>
        <v>Chance Comanche</v>
      </c>
      <c r="D103" t="s">
        <v>18</v>
      </c>
      <c r="E103" s="2">
        <v>45087</v>
      </c>
      <c r="F103" s="3">
        <f t="shared" si="4"/>
        <v>6</v>
      </c>
      <c r="G103" s="3">
        <f t="shared" si="7"/>
        <v>10</v>
      </c>
      <c r="H103" s="2" t="str">
        <f t="shared" si="5"/>
        <v>6' 10"</v>
      </c>
      <c r="I103">
        <v>210</v>
      </c>
      <c r="J103" s="1">
        <v>35169</v>
      </c>
      <c r="K103" t="s">
        <v>24</v>
      </c>
      <c r="L103" t="s">
        <v>79</v>
      </c>
      <c r="M103">
        <v>2022</v>
      </c>
      <c r="N103" t="str">
        <f t="shared" si="6"/>
        <v>Undrafted</v>
      </c>
    </row>
    <row r="104" spans="1:16" x14ac:dyDescent="0.35">
      <c r="A104" t="s">
        <v>289</v>
      </c>
      <c r="B104" t="s">
        <v>290</v>
      </c>
      <c r="C104" t="str">
        <f>CONCATENATE(A104, " ",B104)</f>
        <v>Mike Conley</v>
      </c>
      <c r="D104" t="s">
        <v>28</v>
      </c>
      <c r="E104" s="2">
        <v>45078</v>
      </c>
      <c r="F104" s="3">
        <f t="shared" si="4"/>
        <v>6</v>
      </c>
      <c r="G104" s="3">
        <f t="shared" si="7"/>
        <v>1</v>
      </c>
      <c r="H104" s="2" t="str">
        <f t="shared" si="5"/>
        <v>6' 1"</v>
      </c>
      <c r="I104">
        <v>175</v>
      </c>
      <c r="J104" s="1">
        <v>32061</v>
      </c>
      <c r="K104" t="s">
        <v>24</v>
      </c>
      <c r="L104" t="s">
        <v>119</v>
      </c>
      <c r="M104">
        <v>2007</v>
      </c>
      <c r="N104" t="str">
        <f t="shared" si="6"/>
        <v>Drafted</v>
      </c>
      <c r="O104">
        <v>1</v>
      </c>
      <c r="P104">
        <v>4</v>
      </c>
    </row>
    <row r="105" spans="1:16" x14ac:dyDescent="0.35">
      <c r="A105" t="s">
        <v>291</v>
      </c>
      <c r="B105" t="s">
        <v>292</v>
      </c>
      <c r="C105" t="str">
        <f>CONCATENATE(A105, " ",B105)</f>
        <v>Pat Connaughton</v>
      </c>
      <c r="D105" t="s">
        <v>28</v>
      </c>
      <c r="E105" s="2">
        <v>45082</v>
      </c>
      <c r="F105" s="3">
        <f t="shared" si="4"/>
        <v>6</v>
      </c>
      <c r="G105" s="3">
        <f t="shared" si="7"/>
        <v>5</v>
      </c>
      <c r="H105" s="2" t="str">
        <f t="shared" si="5"/>
        <v>6' 5"</v>
      </c>
      <c r="I105">
        <v>209</v>
      </c>
      <c r="J105" s="1">
        <v>33975</v>
      </c>
      <c r="K105" t="s">
        <v>24</v>
      </c>
      <c r="L105" t="s">
        <v>293</v>
      </c>
      <c r="M105">
        <v>2015</v>
      </c>
      <c r="N105" t="str">
        <f t="shared" si="6"/>
        <v>Drafted</v>
      </c>
      <c r="O105">
        <v>2</v>
      </c>
      <c r="P105">
        <v>41</v>
      </c>
    </row>
    <row r="106" spans="1:16" x14ac:dyDescent="0.35">
      <c r="A106" t="s">
        <v>294</v>
      </c>
      <c r="B106" t="s">
        <v>295</v>
      </c>
      <c r="C106" t="str">
        <f>CONCATENATE(A106, " ",B106)</f>
        <v>Xavier Cooks</v>
      </c>
      <c r="D106" t="s">
        <v>13</v>
      </c>
      <c r="E106" s="2">
        <v>45085</v>
      </c>
      <c r="F106" s="3">
        <f t="shared" si="4"/>
        <v>6</v>
      </c>
      <c r="G106" s="3">
        <f t="shared" si="7"/>
        <v>8</v>
      </c>
      <c r="H106" s="2" t="str">
        <f t="shared" si="5"/>
        <v>6' 8"</v>
      </c>
      <c r="I106">
        <v>183</v>
      </c>
      <c r="J106" s="1">
        <v>34930</v>
      </c>
      <c r="K106" t="s">
        <v>296</v>
      </c>
      <c r="L106" t="s">
        <v>297</v>
      </c>
      <c r="M106">
        <v>2022</v>
      </c>
      <c r="N106" t="str">
        <f t="shared" si="6"/>
        <v>Undrafted</v>
      </c>
    </row>
    <row r="107" spans="1:16" x14ac:dyDescent="0.35">
      <c r="A107" t="s">
        <v>298</v>
      </c>
      <c r="B107" t="s">
        <v>299</v>
      </c>
      <c r="C107" t="str">
        <f>CONCATENATE(A107, " ",B107)</f>
        <v>Robert Covington</v>
      </c>
      <c r="D107" t="s">
        <v>13</v>
      </c>
      <c r="E107" s="2">
        <v>45084</v>
      </c>
      <c r="F107" s="3">
        <f t="shared" si="4"/>
        <v>6</v>
      </c>
      <c r="G107" s="3">
        <f t="shared" si="7"/>
        <v>7</v>
      </c>
      <c r="H107" s="2" t="str">
        <f t="shared" si="5"/>
        <v>6' 7"</v>
      </c>
      <c r="I107">
        <v>209</v>
      </c>
      <c r="J107" s="1">
        <v>33221</v>
      </c>
      <c r="K107" t="s">
        <v>24</v>
      </c>
      <c r="L107" t="s">
        <v>300</v>
      </c>
      <c r="M107">
        <v>2013</v>
      </c>
      <c r="N107" t="str">
        <f t="shared" si="6"/>
        <v>Undrafted</v>
      </c>
    </row>
    <row r="108" spans="1:16" x14ac:dyDescent="0.35">
      <c r="A108" t="s">
        <v>301</v>
      </c>
      <c r="B108" t="s">
        <v>302</v>
      </c>
      <c r="C108" t="str">
        <f>CONCATENATE(A108, " ",B108)</f>
        <v>Torrey Craig</v>
      </c>
      <c r="D108" t="s">
        <v>13</v>
      </c>
      <c r="E108" s="2">
        <v>45084</v>
      </c>
      <c r="F108" s="3">
        <f t="shared" si="4"/>
        <v>6</v>
      </c>
      <c r="G108" s="3">
        <f t="shared" si="7"/>
        <v>7</v>
      </c>
      <c r="H108" s="2" t="str">
        <f t="shared" si="5"/>
        <v>6' 7"</v>
      </c>
      <c r="I108">
        <v>221</v>
      </c>
      <c r="J108" s="1">
        <v>33226</v>
      </c>
      <c r="K108" t="s">
        <v>24</v>
      </c>
      <c r="L108" t="s">
        <v>303</v>
      </c>
      <c r="M108">
        <v>2017</v>
      </c>
      <c r="N108" t="str">
        <f t="shared" si="6"/>
        <v>Undrafted</v>
      </c>
    </row>
    <row r="109" spans="1:16" x14ac:dyDescent="0.35">
      <c r="A109" t="s">
        <v>304</v>
      </c>
      <c r="B109" t="s">
        <v>305</v>
      </c>
      <c r="C109" t="str">
        <f>CONCATENATE(A109, " ",B109)</f>
        <v>Jae Crowder</v>
      </c>
      <c r="D109" t="s">
        <v>13</v>
      </c>
      <c r="E109" s="2">
        <v>45083</v>
      </c>
      <c r="F109" s="3">
        <f t="shared" si="4"/>
        <v>6</v>
      </c>
      <c r="G109" s="3">
        <f t="shared" si="7"/>
        <v>6</v>
      </c>
      <c r="H109" s="2" t="str">
        <f t="shared" si="5"/>
        <v>6' 6"</v>
      </c>
      <c r="I109">
        <v>235</v>
      </c>
      <c r="J109" s="1">
        <v>33060</v>
      </c>
      <c r="K109" t="s">
        <v>24</v>
      </c>
      <c r="L109" t="s">
        <v>229</v>
      </c>
      <c r="M109">
        <v>2012</v>
      </c>
      <c r="N109" t="str">
        <f t="shared" si="6"/>
        <v>Drafted</v>
      </c>
      <c r="O109">
        <v>2</v>
      </c>
      <c r="P109">
        <v>34</v>
      </c>
    </row>
    <row r="110" spans="1:16" x14ac:dyDescent="0.35">
      <c r="A110" t="s">
        <v>42</v>
      </c>
      <c r="B110" t="s">
        <v>306</v>
      </c>
      <c r="C110" t="str">
        <f>CONCATENATE(A110, " ",B110)</f>
        <v>Jarrett Culver</v>
      </c>
      <c r="D110" t="s">
        <v>122</v>
      </c>
      <c r="E110" s="2">
        <v>45083</v>
      </c>
      <c r="F110" s="3">
        <f t="shared" si="4"/>
        <v>6</v>
      </c>
      <c r="G110" s="3">
        <f t="shared" si="7"/>
        <v>6</v>
      </c>
      <c r="H110" s="2" t="str">
        <f t="shared" si="5"/>
        <v>6' 6"</v>
      </c>
      <c r="I110">
        <v>195</v>
      </c>
      <c r="J110" s="1">
        <v>36211</v>
      </c>
      <c r="K110" t="s">
        <v>24</v>
      </c>
      <c r="L110" t="s">
        <v>307</v>
      </c>
      <c r="M110">
        <v>2019</v>
      </c>
      <c r="N110" t="str">
        <f t="shared" si="6"/>
        <v>Drafted</v>
      </c>
      <c r="O110">
        <v>1</v>
      </c>
      <c r="P110">
        <v>6</v>
      </c>
    </row>
    <row r="111" spans="1:16" x14ac:dyDescent="0.35">
      <c r="A111" t="s">
        <v>308</v>
      </c>
      <c r="B111" t="s">
        <v>309</v>
      </c>
      <c r="C111" t="str">
        <f>CONCATENATE(A111, " ",B111)</f>
        <v>Cade Cunningham</v>
      </c>
      <c r="D111" t="s">
        <v>28</v>
      </c>
      <c r="E111" s="2">
        <v>45084</v>
      </c>
      <c r="F111" s="3">
        <f t="shared" si="4"/>
        <v>6</v>
      </c>
      <c r="G111" s="3">
        <f t="shared" si="7"/>
        <v>7</v>
      </c>
      <c r="H111" s="2" t="str">
        <f t="shared" si="5"/>
        <v>6' 7"</v>
      </c>
      <c r="I111">
        <v>220</v>
      </c>
      <c r="J111" s="1">
        <v>37159</v>
      </c>
      <c r="K111" t="s">
        <v>24</v>
      </c>
      <c r="L111" t="s">
        <v>310</v>
      </c>
      <c r="M111">
        <v>2021</v>
      </c>
      <c r="N111" t="str">
        <f t="shared" si="6"/>
        <v>Drafted</v>
      </c>
      <c r="O111">
        <v>1</v>
      </c>
      <c r="P111">
        <v>1</v>
      </c>
    </row>
    <row r="112" spans="1:16" x14ac:dyDescent="0.35">
      <c r="A112" t="s">
        <v>311</v>
      </c>
      <c r="B112" t="s">
        <v>312</v>
      </c>
      <c r="C112" t="str">
        <f>CONCATENATE(A112, " ",B112)</f>
        <v>Seth Curry</v>
      </c>
      <c r="D112" t="s">
        <v>28</v>
      </c>
      <c r="E112" s="2">
        <v>45078</v>
      </c>
      <c r="F112" s="3">
        <f t="shared" si="4"/>
        <v>6</v>
      </c>
      <c r="G112" s="3">
        <f t="shared" si="7"/>
        <v>1</v>
      </c>
      <c r="H112" s="2" t="str">
        <f t="shared" si="5"/>
        <v>6' 1"</v>
      </c>
      <c r="I112">
        <v>185</v>
      </c>
      <c r="J112" s="1">
        <v>33108</v>
      </c>
      <c r="K112" t="s">
        <v>24</v>
      </c>
      <c r="L112" t="s">
        <v>41</v>
      </c>
      <c r="M112">
        <v>2013</v>
      </c>
      <c r="N112" t="str">
        <f t="shared" si="6"/>
        <v>Undrafted</v>
      </c>
    </row>
    <row r="113" spans="1:16" x14ac:dyDescent="0.35">
      <c r="A113" t="s">
        <v>313</v>
      </c>
      <c r="B113" t="s">
        <v>312</v>
      </c>
      <c r="C113" t="str">
        <f>CONCATENATE(A113, " ",B113)</f>
        <v>Stephen Curry</v>
      </c>
      <c r="D113" t="s">
        <v>28</v>
      </c>
      <c r="E113" s="2">
        <v>45079</v>
      </c>
      <c r="F113" s="3">
        <f t="shared" si="4"/>
        <v>6</v>
      </c>
      <c r="G113" s="3">
        <f t="shared" si="7"/>
        <v>2</v>
      </c>
      <c r="H113" s="2" t="str">
        <f t="shared" si="5"/>
        <v>6' 2"</v>
      </c>
      <c r="I113">
        <v>185</v>
      </c>
      <c r="J113" s="1">
        <v>32216</v>
      </c>
      <c r="K113" t="s">
        <v>24</v>
      </c>
      <c r="L113" t="s">
        <v>314</v>
      </c>
      <c r="M113">
        <v>2009</v>
      </c>
      <c r="N113" t="str">
        <f t="shared" si="6"/>
        <v>Drafted</v>
      </c>
      <c r="O113">
        <v>1</v>
      </c>
      <c r="P113">
        <v>7</v>
      </c>
    </row>
    <row r="114" spans="1:16" x14ac:dyDescent="0.35">
      <c r="A114" t="s">
        <v>315</v>
      </c>
      <c r="B114" t="s">
        <v>316</v>
      </c>
      <c r="C114" t="str">
        <f>CONCATENATE(A114, " ",B114)</f>
        <v>Dyson Daniels</v>
      </c>
      <c r="D114" t="s">
        <v>28</v>
      </c>
      <c r="E114" s="2">
        <v>45084</v>
      </c>
      <c r="F114" s="3">
        <f t="shared" si="4"/>
        <v>6</v>
      </c>
      <c r="G114" s="3">
        <f t="shared" si="7"/>
        <v>7</v>
      </c>
      <c r="H114" s="2" t="str">
        <f t="shared" si="5"/>
        <v>6' 7"</v>
      </c>
      <c r="I114">
        <v>199</v>
      </c>
      <c r="J114" s="1">
        <v>37697</v>
      </c>
      <c r="K114" t="s">
        <v>296</v>
      </c>
      <c r="L114" t="s">
        <v>135</v>
      </c>
      <c r="M114">
        <v>2022</v>
      </c>
      <c r="N114" t="str">
        <f t="shared" si="6"/>
        <v>Drafted</v>
      </c>
      <c r="O114">
        <v>1</v>
      </c>
      <c r="P114">
        <v>8</v>
      </c>
    </row>
    <row r="115" spans="1:16" x14ac:dyDescent="0.35">
      <c r="A115" t="s">
        <v>60</v>
      </c>
      <c r="B115" t="s">
        <v>136</v>
      </c>
      <c r="C115" t="str">
        <f>CONCATENATE(A115, " ",B115)</f>
        <v>Anthony Davis</v>
      </c>
      <c r="D115" t="s">
        <v>32</v>
      </c>
      <c r="E115" s="2">
        <v>45087</v>
      </c>
      <c r="F115" s="3">
        <f t="shared" si="4"/>
        <v>6</v>
      </c>
      <c r="G115" s="3">
        <f t="shared" si="7"/>
        <v>10</v>
      </c>
      <c r="H115" s="2" t="str">
        <f t="shared" si="5"/>
        <v>6' 10"</v>
      </c>
      <c r="I115">
        <v>253</v>
      </c>
      <c r="J115" s="1">
        <v>34039</v>
      </c>
      <c r="K115" t="s">
        <v>24</v>
      </c>
      <c r="L115" t="s">
        <v>25</v>
      </c>
      <c r="M115">
        <v>2012</v>
      </c>
      <c r="N115" t="str">
        <f t="shared" si="6"/>
        <v>Drafted</v>
      </c>
      <c r="O115">
        <v>1</v>
      </c>
      <c r="P115">
        <v>1</v>
      </c>
    </row>
    <row r="116" spans="1:16" x14ac:dyDescent="0.35">
      <c r="A116" t="s">
        <v>317</v>
      </c>
      <c r="B116" t="s">
        <v>136</v>
      </c>
      <c r="C116" t="str">
        <f>CONCATENATE(A116, " ",B116)</f>
        <v>Johnny Davis</v>
      </c>
      <c r="D116" t="s">
        <v>28</v>
      </c>
      <c r="E116" s="2">
        <v>45081</v>
      </c>
      <c r="F116" s="3">
        <f t="shared" si="4"/>
        <v>6</v>
      </c>
      <c r="G116" s="3">
        <f t="shared" si="7"/>
        <v>4</v>
      </c>
      <c r="H116" s="2" t="str">
        <f t="shared" si="5"/>
        <v>6' 4"</v>
      </c>
      <c r="I116">
        <v>195</v>
      </c>
      <c r="J116" s="1">
        <v>37314</v>
      </c>
      <c r="K116" t="s">
        <v>24</v>
      </c>
      <c r="L116" t="s">
        <v>318</v>
      </c>
      <c r="M116">
        <v>2022</v>
      </c>
      <c r="N116" t="str">
        <f t="shared" si="6"/>
        <v>Drafted</v>
      </c>
      <c r="O116">
        <v>1</v>
      </c>
      <c r="P116">
        <v>10</v>
      </c>
    </row>
    <row r="117" spans="1:16" x14ac:dyDescent="0.35">
      <c r="A117" t="s">
        <v>319</v>
      </c>
      <c r="B117" t="s">
        <v>136</v>
      </c>
      <c r="C117" t="str">
        <f>CONCATENATE(A117, " ",B117)</f>
        <v>Terence Davis</v>
      </c>
      <c r="D117" t="s">
        <v>28</v>
      </c>
      <c r="E117" s="2">
        <v>45081</v>
      </c>
      <c r="F117" s="3">
        <f t="shared" si="4"/>
        <v>6</v>
      </c>
      <c r="G117" s="3">
        <f t="shared" si="7"/>
        <v>4</v>
      </c>
      <c r="H117" s="2" t="str">
        <f t="shared" si="5"/>
        <v>6' 4"</v>
      </c>
      <c r="I117">
        <v>201</v>
      </c>
      <c r="J117" s="1">
        <v>35566</v>
      </c>
      <c r="K117" t="s">
        <v>24</v>
      </c>
      <c r="L117" t="s">
        <v>320</v>
      </c>
      <c r="M117">
        <v>2019</v>
      </c>
      <c r="N117" t="str">
        <f t="shared" si="6"/>
        <v>Undrafted</v>
      </c>
    </row>
    <row r="118" spans="1:16" x14ac:dyDescent="0.35">
      <c r="A118" t="s">
        <v>321</v>
      </c>
      <c r="B118" t="s">
        <v>322</v>
      </c>
      <c r="C118" t="str">
        <f>CONCATENATE(A118, " ",B118)</f>
        <v>JD Davison</v>
      </c>
      <c r="D118" t="s">
        <v>28</v>
      </c>
      <c r="E118" s="2">
        <v>45078</v>
      </c>
      <c r="F118" s="3">
        <f t="shared" si="4"/>
        <v>6</v>
      </c>
      <c r="G118" s="3">
        <f t="shared" si="7"/>
        <v>1</v>
      </c>
      <c r="H118" s="2" t="str">
        <f t="shared" si="5"/>
        <v>6' 1"</v>
      </c>
      <c r="I118">
        <v>195</v>
      </c>
      <c r="J118" s="1">
        <v>37532</v>
      </c>
      <c r="K118" t="s">
        <v>24</v>
      </c>
      <c r="L118" t="s">
        <v>323</v>
      </c>
      <c r="M118">
        <v>2022</v>
      </c>
      <c r="N118" t="str">
        <f t="shared" si="6"/>
        <v>Drafted</v>
      </c>
      <c r="O118">
        <v>2</v>
      </c>
      <c r="P118">
        <v>53</v>
      </c>
    </row>
    <row r="119" spans="1:16" x14ac:dyDescent="0.35">
      <c r="A119" t="s">
        <v>125</v>
      </c>
      <c r="B119" t="s">
        <v>324</v>
      </c>
      <c r="C119" t="str">
        <f>CONCATENATE(A119, " ",B119)</f>
        <v>Darius Days</v>
      </c>
      <c r="D119" t="s">
        <v>13</v>
      </c>
      <c r="E119" s="2">
        <v>45084</v>
      </c>
      <c r="F119" s="3">
        <f t="shared" si="4"/>
        <v>6</v>
      </c>
      <c r="G119" s="3">
        <f t="shared" si="7"/>
        <v>7</v>
      </c>
      <c r="H119" s="2" t="str">
        <f t="shared" si="5"/>
        <v>6' 7"</v>
      </c>
      <c r="I119">
        <v>245</v>
      </c>
      <c r="J119" s="1">
        <v>36453</v>
      </c>
      <c r="K119" t="s">
        <v>24</v>
      </c>
      <c r="L119" t="s">
        <v>325</v>
      </c>
      <c r="M119">
        <v>2022</v>
      </c>
      <c r="N119" t="str">
        <f t="shared" si="6"/>
        <v>Undrafted</v>
      </c>
    </row>
    <row r="120" spans="1:16" x14ac:dyDescent="0.35">
      <c r="A120" t="s">
        <v>326</v>
      </c>
      <c r="B120" t="s">
        <v>327</v>
      </c>
      <c r="C120" t="str">
        <f>CONCATENATE(A120, " ",B120)</f>
        <v>DeMar DeRozan</v>
      </c>
      <c r="D120" t="s">
        <v>122</v>
      </c>
      <c r="E120" s="2">
        <v>45083</v>
      </c>
      <c r="F120" s="3">
        <f t="shared" si="4"/>
        <v>6</v>
      </c>
      <c r="G120" s="3">
        <f t="shared" si="7"/>
        <v>6</v>
      </c>
      <c r="H120" s="2" t="str">
        <f t="shared" si="5"/>
        <v>6' 6"</v>
      </c>
      <c r="I120">
        <v>220</v>
      </c>
      <c r="J120" s="1">
        <v>32727</v>
      </c>
      <c r="K120" t="s">
        <v>24</v>
      </c>
      <c r="L120" t="s">
        <v>328</v>
      </c>
      <c r="M120">
        <v>2009</v>
      </c>
      <c r="N120" t="str">
        <f t="shared" si="6"/>
        <v>Drafted</v>
      </c>
      <c r="O120">
        <v>1</v>
      </c>
      <c r="P120">
        <v>9</v>
      </c>
    </row>
    <row r="121" spans="1:16" x14ac:dyDescent="0.35">
      <c r="A121" t="s">
        <v>329</v>
      </c>
      <c r="B121" t="s">
        <v>330</v>
      </c>
      <c r="C121" t="str">
        <f>CONCATENATE(A121, " ",B121)</f>
        <v>Dewayne Dedmon</v>
      </c>
      <c r="D121" t="s">
        <v>18</v>
      </c>
      <c r="E121" s="2">
        <v>45087</v>
      </c>
      <c r="F121" s="3">
        <f t="shared" si="4"/>
        <v>6</v>
      </c>
      <c r="G121" s="3">
        <f t="shared" si="7"/>
        <v>10</v>
      </c>
      <c r="H121" s="2" t="str">
        <f t="shared" si="5"/>
        <v>6' 10"</v>
      </c>
      <c r="I121">
        <v>245</v>
      </c>
      <c r="J121" s="1">
        <v>32732</v>
      </c>
      <c r="K121" t="s">
        <v>24</v>
      </c>
      <c r="L121" t="s">
        <v>328</v>
      </c>
      <c r="M121">
        <v>2013</v>
      </c>
      <c r="N121" t="str">
        <f t="shared" si="6"/>
        <v>Undrafted</v>
      </c>
    </row>
    <row r="122" spans="1:16" x14ac:dyDescent="0.35">
      <c r="A122" t="s">
        <v>331</v>
      </c>
      <c r="B122" t="s">
        <v>332</v>
      </c>
      <c r="C122" t="str">
        <f>CONCATENATE(A122, " ",B122)</f>
        <v>Matthew Dellavedova</v>
      </c>
      <c r="D122" t="s">
        <v>28</v>
      </c>
      <c r="E122" s="2">
        <v>45080</v>
      </c>
      <c r="F122" s="3">
        <f t="shared" si="4"/>
        <v>6</v>
      </c>
      <c r="G122" s="3">
        <f t="shared" si="7"/>
        <v>3</v>
      </c>
      <c r="H122" s="2" t="str">
        <f t="shared" si="5"/>
        <v>6' 3"</v>
      </c>
      <c r="I122">
        <v>200</v>
      </c>
      <c r="J122" s="1">
        <v>33124</v>
      </c>
      <c r="K122" t="s">
        <v>296</v>
      </c>
      <c r="M122">
        <v>2013</v>
      </c>
      <c r="N122" t="str">
        <f t="shared" si="6"/>
        <v>Undrafted</v>
      </c>
    </row>
    <row r="123" spans="1:16" x14ac:dyDescent="0.35">
      <c r="A123" t="s">
        <v>333</v>
      </c>
      <c r="B123" t="s">
        <v>334</v>
      </c>
      <c r="C123" t="str">
        <f>CONCATENATE(A123, " ",B123)</f>
        <v>Donte DiVincenzo</v>
      </c>
      <c r="D123" t="s">
        <v>28</v>
      </c>
      <c r="E123" s="2">
        <v>45081</v>
      </c>
      <c r="F123" s="3">
        <f t="shared" si="4"/>
        <v>6</v>
      </c>
      <c r="G123" s="3">
        <f t="shared" si="7"/>
        <v>4</v>
      </c>
      <c r="H123" s="2" t="str">
        <f t="shared" si="5"/>
        <v>6' 4"</v>
      </c>
      <c r="I123">
        <v>203</v>
      </c>
      <c r="J123" s="1">
        <v>35461</v>
      </c>
      <c r="K123" t="s">
        <v>24</v>
      </c>
      <c r="L123" t="s">
        <v>68</v>
      </c>
      <c r="M123">
        <v>2018</v>
      </c>
      <c r="N123" t="str">
        <f t="shared" si="6"/>
        <v>Drafted</v>
      </c>
      <c r="O123">
        <v>1</v>
      </c>
      <c r="P123">
        <v>17</v>
      </c>
    </row>
    <row r="124" spans="1:16" x14ac:dyDescent="0.35">
      <c r="A124" t="s">
        <v>335</v>
      </c>
      <c r="B124" t="s">
        <v>336</v>
      </c>
      <c r="C124" t="str">
        <f>CONCATENATE(A124, " ",B124)</f>
        <v>Moussa Diabate</v>
      </c>
      <c r="D124" t="s">
        <v>13</v>
      </c>
      <c r="E124" s="2">
        <v>45087</v>
      </c>
      <c r="F124" s="3">
        <f t="shared" si="4"/>
        <v>6</v>
      </c>
      <c r="G124" s="3">
        <f t="shared" si="7"/>
        <v>10</v>
      </c>
      <c r="H124" s="2" t="str">
        <f t="shared" si="5"/>
        <v>6' 10"</v>
      </c>
      <c r="I124">
        <v>210</v>
      </c>
      <c r="J124" s="1">
        <v>37277</v>
      </c>
      <c r="K124" t="s">
        <v>123</v>
      </c>
      <c r="L124" t="s">
        <v>337</v>
      </c>
      <c r="M124">
        <v>2022</v>
      </c>
      <c r="N124" t="str">
        <f t="shared" si="6"/>
        <v>Drafted</v>
      </c>
      <c r="O124">
        <v>2</v>
      </c>
      <c r="P124">
        <v>43</v>
      </c>
    </row>
    <row r="125" spans="1:16" x14ac:dyDescent="0.35">
      <c r="A125" t="s">
        <v>338</v>
      </c>
      <c r="B125" t="s">
        <v>339</v>
      </c>
      <c r="C125" t="str">
        <f>CONCATENATE(A125, " ",B125)</f>
        <v>Mamadi Diakite</v>
      </c>
      <c r="D125" t="s">
        <v>13</v>
      </c>
      <c r="E125" s="2">
        <v>45086</v>
      </c>
      <c r="F125" s="3">
        <f t="shared" si="4"/>
        <v>6</v>
      </c>
      <c r="G125" s="3">
        <f t="shared" si="7"/>
        <v>9</v>
      </c>
      <c r="H125" s="2" t="str">
        <f t="shared" si="5"/>
        <v>6' 9"</v>
      </c>
      <c r="I125">
        <v>228</v>
      </c>
      <c r="J125" s="1">
        <v>35451</v>
      </c>
      <c r="K125" t="s">
        <v>340</v>
      </c>
      <c r="L125" t="s">
        <v>197</v>
      </c>
      <c r="M125">
        <v>2020</v>
      </c>
      <c r="N125" t="str">
        <f t="shared" si="6"/>
        <v>Undrafted</v>
      </c>
    </row>
    <row r="126" spans="1:16" x14ac:dyDescent="0.35">
      <c r="A126" t="s">
        <v>341</v>
      </c>
      <c r="B126" t="s">
        <v>342</v>
      </c>
      <c r="C126" t="str">
        <f>CONCATENATE(A126, " ",B126)</f>
        <v>Hamidou Diallo</v>
      </c>
      <c r="D126" t="s">
        <v>28</v>
      </c>
      <c r="E126" s="2">
        <v>45082</v>
      </c>
      <c r="F126" s="3">
        <f t="shared" si="4"/>
        <v>6</v>
      </c>
      <c r="G126" s="3">
        <f t="shared" si="7"/>
        <v>5</v>
      </c>
      <c r="H126" s="2" t="str">
        <f t="shared" si="5"/>
        <v>6' 5"</v>
      </c>
      <c r="I126">
        <v>202</v>
      </c>
      <c r="J126" s="1">
        <v>36007</v>
      </c>
      <c r="K126" t="s">
        <v>24</v>
      </c>
      <c r="L126" t="s">
        <v>25</v>
      </c>
      <c r="M126">
        <v>2018</v>
      </c>
      <c r="N126" t="str">
        <f t="shared" si="6"/>
        <v>Drafted</v>
      </c>
      <c r="O126">
        <v>2</v>
      </c>
      <c r="P126">
        <v>45</v>
      </c>
    </row>
    <row r="127" spans="1:16" x14ac:dyDescent="0.35">
      <c r="A127" t="s">
        <v>343</v>
      </c>
      <c r="B127" t="s">
        <v>344</v>
      </c>
      <c r="C127" t="str">
        <f>CONCATENATE(A127, " ",B127)</f>
        <v>Gorgui Dieng</v>
      </c>
      <c r="D127" t="s">
        <v>18</v>
      </c>
      <c r="E127" s="2">
        <v>45087</v>
      </c>
      <c r="F127" s="3">
        <f t="shared" si="4"/>
        <v>6</v>
      </c>
      <c r="G127" s="3">
        <f t="shared" si="7"/>
        <v>10</v>
      </c>
      <c r="H127" s="2" t="str">
        <f t="shared" si="5"/>
        <v>6' 10"</v>
      </c>
      <c r="I127">
        <v>248</v>
      </c>
      <c r="J127" s="1">
        <v>32891</v>
      </c>
      <c r="K127" t="s">
        <v>84</v>
      </c>
      <c r="L127" t="s">
        <v>345</v>
      </c>
      <c r="M127">
        <v>2013</v>
      </c>
      <c r="N127" t="str">
        <f t="shared" si="6"/>
        <v>Drafted</v>
      </c>
      <c r="O127">
        <v>1</v>
      </c>
      <c r="P127">
        <v>21</v>
      </c>
    </row>
    <row r="128" spans="1:16" x14ac:dyDescent="0.35">
      <c r="A128" t="s">
        <v>346</v>
      </c>
      <c r="B128" t="s">
        <v>344</v>
      </c>
      <c r="C128" t="str">
        <f>CONCATENATE(A128, " ",B128)</f>
        <v>Ousmane Dieng</v>
      </c>
      <c r="D128" t="s">
        <v>13</v>
      </c>
      <c r="E128" s="2">
        <v>45086</v>
      </c>
      <c r="F128" s="3">
        <f t="shared" si="4"/>
        <v>6</v>
      </c>
      <c r="G128" s="3">
        <f t="shared" si="7"/>
        <v>9</v>
      </c>
      <c r="H128" s="2" t="str">
        <f t="shared" si="5"/>
        <v>6' 9"</v>
      </c>
      <c r="I128">
        <v>185</v>
      </c>
      <c r="J128" s="1">
        <v>37762</v>
      </c>
      <c r="K128" t="s">
        <v>123</v>
      </c>
      <c r="L128" t="s">
        <v>347</v>
      </c>
      <c r="M128">
        <v>2022</v>
      </c>
      <c r="N128" t="str">
        <f t="shared" si="6"/>
        <v>Drafted</v>
      </c>
      <c r="O128">
        <v>1</v>
      </c>
      <c r="P128">
        <v>11</v>
      </c>
    </row>
    <row r="129" spans="1:16" x14ac:dyDescent="0.35">
      <c r="A129" t="s">
        <v>348</v>
      </c>
      <c r="B129" t="s">
        <v>349</v>
      </c>
      <c r="C129" t="str">
        <f>CONCATENATE(A129, " ",B129)</f>
        <v>Spencer Dinwiddie</v>
      </c>
      <c r="D129" t="s">
        <v>28</v>
      </c>
      <c r="E129" s="2">
        <v>45082</v>
      </c>
      <c r="F129" s="3">
        <f t="shared" si="4"/>
        <v>6</v>
      </c>
      <c r="G129" s="3">
        <f t="shared" si="7"/>
        <v>5</v>
      </c>
      <c r="H129" s="2" t="str">
        <f t="shared" si="5"/>
        <v>6' 5"</v>
      </c>
      <c r="I129">
        <v>215</v>
      </c>
      <c r="J129" s="1">
        <v>34065</v>
      </c>
      <c r="K129" t="s">
        <v>24</v>
      </c>
      <c r="L129" t="s">
        <v>222</v>
      </c>
      <c r="M129">
        <v>2014</v>
      </c>
      <c r="N129" t="str">
        <f t="shared" si="6"/>
        <v>Drafted</v>
      </c>
      <c r="O129">
        <v>2</v>
      </c>
      <c r="P129">
        <v>38</v>
      </c>
    </row>
    <row r="130" spans="1:16" x14ac:dyDescent="0.35">
      <c r="A130" t="s">
        <v>350</v>
      </c>
      <c r="B130" t="s">
        <v>351</v>
      </c>
      <c r="C130" t="str">
        <f>CONCATENATE(A130, " ",B130)</f>
        <v>Luka Doncic</v>
      </c>
      <c r="D130" t="s">
        <v>49</v>
      </c>
      <c r="E130" s="2">
        <v>45084</v>
      </c>
      <c r="F130" s="3">
        <f t="shared" si="4"/>
        <v>6</v>
      </c>
      <c r="G130" s="3">
        <f t="shared" si="7"/>
        <v>7</v>
      </c>
      <c r="H130" s="2" t="str">
        <f t="shared" si="5"/>
        <v>6' 7"</v>
      </c>
      <c r="I130">
        <v>230</v>
      </c>
      <c r="J130" s="1">
        <v>36219</v>
      </c>
      <c r="K130" t="s">
        <v>241</v>
      </c>
      <c r="L130" t="s">
        <v>352</v>
      </c>
      <c r="M130">
        <v>2018</v>
      </c>
      <c r="N130" t="str">
        <f t="shared" si="6"/>
        <v>Drafted</v>
      </c>
      <c r="O130">
        <v>1</v>
      </c>
      <c r="P130">
        <v>3</v>
      </c>
    </row>
    <row r="131" spans="1:16" x14ac:dyDescent="0.35">
      <c r="A131" t="s">
        <v>353</v>
      </c>
      <c r="B131" t="s">
        <v>354</v>
      </c>
      <c r="C131" t="str">
        <f>CONCATENATE(A131, " ",B131)</f>
        <v>Tyler Dorsey</v>
      </c>
      <c r="D131" t="s">
        <v>28</v>
      </c>
      <c r="E131" s="2">
        <v>45081</v>
      </c>
      <c r="F131" s="3">
        <f t="shared" ref="F131:F194" si="8">MONTH(E131)</f>
        <v>6</v>
      </c>
      <c r="G131" s="3">
        <f t="shared" si="7"/>
        <v>4</v>
      </c>
      <c r="H131" s="2" t="str">
        <f t="shared" ref="H131:H194" si="9">CONCATENATE(F131,"' ",G131,"""")</f>
        <v>6' 4"</v>
      </c>
      <c r="I131">
        <v>180</v>
      </c>
      <c r="J131" s="1">
        <v>35113</v>
      </c>
      <c r="K131" t="s">
        <v>24</v>
      </c>
      <c r="L131" t="s">
        <v>166</v>
      </c>
      <c r="M131">
        <v>2017</v>
      </c>
      <c r="N131" t="str">
        <f t="shared" ref="N131:N194" si="10">IF(O131 &gt; 0,"Drafted","Undrafted")</f>
        <v>Drafted</v>
      </c>
      <c r="O131">
        <v>2</v>
      </c>
      <c r="P131">
        <v>41</v>
      </c>
    </row>
    <row r="132" spans="1:16" x14ac:dyDescent="0.35">
      <c r="A132" t="s">
        <v>355</v>
      </c>
      <c r="B132" t="s">
        <v>356</v>
      </c>
      <c r="C132" t="str">
        <f>CONCATENATE(A132, " ",B132)</f>
        <v>Luguentz Dort</v>
      </c>
      <c r="D132" t="s">
        <v>28</v>
      </c>
      <c r="E132" s="2">
        <v>45081</v>
      </c>
      <c r="F132" s="3">
        <f t="shared" si="8"/>
        <v>6</v>
      </c>
      <c r="G132" s="3">
        <f t="shared" ref="G132:G195" si="11">DAY(E132)</f>
        <v>4</v>
      </c>
      <c r="H132" s="2" t="str">
        <f t="shared" si="9"/>
        <v>6' 4"</v>
      </c>
      <c r="I132">
        <v>220</v>
      </c>
      <c r="J132" s="1">
        <v>36269</v>
      </c>
      <c r="K132" t="s">
        <v>37</v>
      </c>
      <c r="L132" t="s">
        <v>273</v>
      </c>
      <c r="M132">
        <v>2019</v>
      </c>
      <c r="N132" t="str">
        <f t="shared" si="10"/>
        <v>Undrafted</v>
      </c>
    </row>
    <row r="133" spans="1:16" x14ac:dyDescent="0.35">
      <c r="A133" t="s">
        <v>357</v>
      </c>
      <c r="B133" t="s">
        <v>358</v>
      </c>
      <c r="C133" t="str">
        <f>CONCATENATE(A133, " ",B133)</f>
        <v>Ayo Dosunmu</v>
      </c>
      <c r="D133" t="s">
        <v>28</v>
      </c>
      <c r="E133" s="2">
        <v>45082</v>
      </c>
      <c r="F133" s="3">
        <f t="shared" si="8"/>
        <v>6</v>
      </c>
      <c r="G133" s="3">
        <f t="shared" si="11"/>
        <v>5</v>
      </c>
      <c r="H133" s="2" t="str">
        <f t="shared" si="9"/>
        <v>6' 5"</v>
      </c>
      <c r="I133">
        <v>200</v>
      </c>
      <c r="J133" s="1">
        <v>36542</v>
      </c>
      <c r="K133" t="s">
        <v>24</v>
      </c>
      <c r="L133" t="s">
        <v>359</v>
      </c>
      <c r="M133">
        <v>2021</v>
      </c>
      <c r="N133" t="str">
        <f t="shared" si="10"/>
        <v>Drafted</v>
      </c>
      <c r="O133">
        <v>2</v>
      </c>
      <c r="P133">
        <v>38</v>
      </c>
    </row>
    <row r="134" spans="1:16" x14ac:dyDescent="0.35">
      <c r="A134" t="s">
        <v>360</v>
      </c>
      <c r="B134" t="s">
        <v>361</v>
      </c>
      <c r="C134" t="str">
        <f>CONCATENATE(A134, " ",B134)</f>
        <v>Devon Dotson</v>
      </c>
      <c r="D134" t="s">
        <v>28</v>
      </c>
      <c r="E134" s="2">
        <v>45078</v>
      </c>
      <c r="F134" s="3">
        <f t="shared" si="8"/>
        <v>6</v>
      </c>
      <c r="G134" s="3">
        <f t="shared" si="11"/>
        <v>1</v>
      </c>
      <c r="H134" s="2" t="str">
        <f t="shared" si="9"/>
        <v>6' 1"</v>
      </c>
      <c r="I134">
        <v>185</v>
      </c>
      <c r="J134" s="1">
        <v>36374</v>
      </c>
      <c r="K134" t="s">
        <v>24</v>
      </c>
      <c r="L134" t="s">
        <v>29</v>
      </c>
      <c r="M134">
        <v>2020</v>
      </c>
      <c r="N134" t="str">
        <f t="shared" si="10"/>
        <v>Undrafted</v>
      </c>
    </row>
    <row r="135" spans="1:16" x14ac:dyDescent="0.35">
      <c r="A135" t="s">
        <v>362</v>
      </c>
      <c r="B135" t="s">
        <v>363</v>
      </c>
      <c r="C135" t="str">
        <f>CONCATENATE(A135, " ",B135)</f>
        <v>Jeff Dowtin Jr.</v>
      </c>
      <c r="D135" t="s">
        <v>28</v>
      </c>
      <c r="E135" s="2">
        <v>45080</v>
      </c>
      <c r="F135" s="3">
        <f t="shared" si="8"/>
        <v>6</v>
      </c>
      <c r="G135" s="3">
        <f t="shared" si="11"/>
        <v>3</v>
      </c>
      <c r="H135" s="2" t="str">
        <f t="shared" si="9"/>
        <v>6' 3"</v>
      </c>
      <c r="I135">
        <v>177</v>
      </c>
      <c r="J135" s="1">
        <v>35560</v>
      </c>
      <c r="K135" t="s">
        <v>24</v>
      </c>
      <c r="L135" t="s">
        <v>364</v>
      </c>
      <c r="M135">
        <v>2021</v>
      </c>
      <c r="N135" t="str">
        <f t="shared" si="10"/>
        <v>Undrafted</v>
      </c>
    </row>
    <row r="136" spans="1:16" x14ac:dyDescent="0.35">
      <c r="A136" t="s">
        <v>365</v>
      </c>
      <c r="B136" t="s">
        <v>366</v>
      </c>
      <c r="C136" t="str">
        <f>CONCATENATE(A136, " ",B136)</f>
        <v>PJ Dozier</v>
      </c>
      <c r="D136" t="s">
        <v>122</v>
      </c>
      <c r="E136" s="2">
        <v>45083</v>
      </c>
      <c r="F136" s="3">
        <f t="shared" si="8"/>
        <v>6</v>
      </c>
      <c r="G136" s="3">
        <f t="shared" si="11"/>
        <v>6</v>
      </c>
      <c r="H136" s="2" t="str">
        <f t="shared" si="9"/>
        <v>6' 6"</v>
      </c>
      <c r="I136">
        <v>205</v>
      </c>
      <c r="J136" s="1">
        <v>35363</v>
      </c>
      <c r="K136" t="s">
        <v>24</v>
      </c>
      <c r="L136" t="s">
        <v>367</v>
      </c>
      <c r="M136">
        <v>2017</v>
      </c>
      <c r="N136" t="str">
        <f t="shared" si="10"/>
        <v>Undrafted</v>
      </c>
    </row>
    <row r="137" spans="1:16" x14ac:dyDescent="0.35">
      <c r="A137" t="s">
        <v>368</v>
      </c>
      <c r="B137" t="s">
        <v>369</v>
      </c>
      <c r="C137" t="str">
        <f>CONCATENATE(A137, " ",B137)</f>
        <v>Goran Dragic</v>
      </c>
      <c r="D137" t="s">
        <v>28</v>
      </c>
      <c r="E137" s="2">
        <v>45081</v>
      </c>
      <c r="F137" s="3">
        <f t="shared" si="8"/>
        <v>6</v>
      </c>
      <c r="G137" s="3">
        <f t="shared" si="11"/>
        <v>4</v>
      </c>
      <c r="H137" s="2" t="str">
        <f t="shared" si="9"/>
        <v>6' 4"</v>
      </c>
      <c r="I137">
        <v>190</v>
      </c>
      <c r="J137" s="1">
        <v>31538</v>
      </c>
      <c r="K137" t="s">
        <v>241</v>
      </c>
      <c r="L137" t="s">
        <v>370</v>
      </c>
      <c r="M137">
        <v>2008</v>
      </c>
      <c r="N137" t="str">
        <f t="shared" si="10"/>
        <v>Drafted</v>
      </c>
      <c r="O137">
        <v>2</v>
      </c>
      <c r="P137">
        <v>45</v>
      </c>
    </row>
    <row r="138" spans="1:16" x14ac:dyDescent="0.35">
      <c r="A138" t="s">
        <v>371</v>
      </c>
      <c r="B138" t="s">
        <v>372</v>
      </c>
      <c r="C138" t="str">
        <f>CONCATENATE(A138, " ",B138)</f>
        <v>Andre Drummond</v>
      </c>
      <c r="D138" t="s">
        <v>18</v>
      </c>
      <c r="E138" s="2">
        <v>45088</v>
      </c>
      <c r="F138" s="3">
        <f t="shared" si="8"/>
        <v>6</v>
      </c>
      <c r="G138" s="3">
        <f t="shared" si="11"/>
        <v>11</v>
      </c>
      <c r="H138" s="2" t="str">
        <f t="shared" si="9"/>
        <v>6' 11"</v>
      </c>
      <c r="I138">
        <v>279</v>
      </c>
      <c r="J138" s="1">
        <v>34191</v>
      </c>
      <c r="K138" t="s">
        <v>24</v>
      </c>
      <c r="L138" t="s">
        <v>179</v>
      </c>
      <c r="M138">
        <v>2012</v>
      </c>
      <c r="N138" t="str">
        <f t="shared" si="10"/>
        <v>Drafted</v>
      </c>
      <c r="O138">
        <v>1</v>
      </c>
      <c r="P138">
        <v>9</v>
      </c>
    </row>
    <row r="139" spans="1:16" x14ac:dyDescent="0.35">
      <c r="A139" t="s">
        <v>174</v>
      </c>
      <c r="B139" t="s">
        <v>373</v>
      </c>
      <c r="C139" t="str">
        <f>CONCATENATE(A139, " ",B139)</f>
        <v>Chris Duarte</v>
      </c>
      <c r="D139" t="s">
        <v>28</v>
      </c>
      <c r="E139" s="2">
        <v>45082</v>
      </c>
      <c r="F139" s="3">
        <f t="shared" si="8"/>
        <v>6</v>
      </c>
      <c r="G139" s="3">
        <f t="shared" si="11"/>
        <v>5</v>
      </c>
      <c r="H139" s="2" t="str">
        <f t="shared" si="9"/>
        <v>6' 5"</v>
      </c>
      <c r="I139">
        <v>190</v>
      </c>
      <c r="J139" s="1">
        <v>35594</v>
      </c>
      <c r="K139" t="s">
        <v>374</v>
      </c>
      <c r="L139" t="s">
        <v>166</v>
      </c>
      <c r="M139">
        <v>2021</v>
      </c>
      <c r="N139" t="str">
        <f t="shared" si="10"/>
        <v>Drafted</v>
      </c>
      <c r="O139">
        <v>1</v>
      </c>
      <c r="P139">
        <v>13</v>
      </c>
    </row>
    <row r="140" spans="1:16" x14ac:dyDescent="0.35">
      <c r="A140" t="s">
        <v>375</v>
      </c>
      <c r="B140" t="s">
        <v>376</v>
      </c>
      <c r="C140" t="str">
        <f>CONCATENATE(A140, " ",B140)</f>
        <v>David Duke Jr.</v>
      </c>
      <c r="D140" t="s">
        <v>28</v>
      </c>
      <c r="E140" s="2">
        <v>45081</v>
      </c>
      <c r="F140" s="3">
        <f t="shared" si="8"/>
        <v>6</v>
      </c>
      <c r="G140" s="3">
        <f t="shared" si="11"/>
        <v>4</v>
      </c>
      <c r="H140" s="2" t="str">
        <f t="shared" si="9"/>
        <v>6' 4"</v>
      </c>
      <c r="I140">
        <v>204</v>
      </c>
      <c r="J140" s="1">
        <v>36446</v>
      </c>
      <c r="K140" t="s">
        <v>24</v>
      </c>
      <c r="L140" t="s">
        <v>377</v>
      </c>
      <c r="M140">
        <v>2021</v>
      </c>
      <c r="N140" t="str">
        <f t="shared" si="10"/>
        <v>Undrafted</v>
      </c>
    </row>
    <row r="141" spans="1:16" x14ac:dyDescent="0.35">
      <c r="A141" t="s">
        <v>378</v>
      </c>
      <c r="B141" t="s">
        <v>379</v>
      </c>
      <c r="C141" t="str">
        <f>CONCATENATE(A141, " ",B141)</f>
        <v>Kris Dunn</v>
      </c>
      <c r="D141" t="s">
        <v>28</v>
      </c>
      <c r="E141" s="2">
        <v>45080</v>
      </c>
      <c r="F141" s="3">
        <f t="shared" si="8"/>
        <v>6</v>
      </c>
      <c r="G141" s="3">
        <f t="shared" si="11"/>
        <v>3</v>
      </c>
      <c r="H141" s="2" t="str">
        <f t="shared" si="9"/>
        <v>6' 3"</v>
      </c>
      <c r="I141">
        <v>205</v>
      </c>
      <c r="J141" s="1">
        <v>34411</v>
      </c>
      <c r="K141" t="s">
        <v>24</v>
      </c>
      <c r="L141" t="s">
        <v>377</v>
      </c>
      <c r="M141">
        <v>2016</v>
      </c>
      <c r="N141" t="str">
        <f t="shared" si="10"/>
        <v>Drafted</v>
      </c>
      <c r="O141">
        <v>1</v>
      </c>
      <c r="P141">
        <v>5</v>
      </c>
    </row>
    <row r="142" spans="1:16" x14ac:dyDescent="0.35">
      <c r="A142" t="s">
        <v>380</v>
      </c>
      <c r="B142" t="s">
        <v>381</v>
      </c>
      <c r="C142" t="str">
        <f>CONCATENATE(A142, " ",B142)</f>
        <v>Kevin Durant</v>
      </c>
      <c r="D142" t="s">
        <v>13</v>
      </c>
      <c r="E142" s="2">
        <v>45087</v>
      </c>
      <c r="F142" s="3">
        <f t="shared" si="8"/>
        <v>6</v>
      </c>
      <c r="G142" s="3">
        <f t="shared" si="11"/>
        <v>10</v>
      </c>
      <c r="H142" s="2" t="str">
        <f t="shared" si="9"/>
        <v>6' 10"</v>
      </c>
      <c r="I142">
        <v>240</v>
      </c>
      <c r="J142" s="1">
        <v>32415</v>
      </c>
      <c r="K142" t="s">
        <v>24</v>
      </c>
      <c r="L142" t="s">
        <v>43</v>
      </c>
      <c r="M142">
        <v>2007</v>
      </c>
      <c r="N142" t="str">
        <f t="shared" si="10"/>
        <v>Drafted</v>
      </c>
      <c r="O142">
        <v>1</v>
      </c>
      <c r="P142">
        <v>2</v>
      </c>
    </row>
    <row r="143" spans="1:16" x14ac:dyDescent="0.35">
      <c r="A143" t="s">
        <v>214</v>
      </c>
      <c r="B143" t="s">
        <v>382</v>
      </c>
      <c r="C143" t="str">
        <f>CONCATENATE(A143, " ",B143)</f>
        <v>Jalen Duren</v>
      </c>
      <c r="D143" t="s">
        <v>18</v>
      </c>
      <c r="E143" s="2">
        <v>45088</v>
      </c>
      <c r="F143" s="3">
        <f t="shared" si="8"/>
        <v>6</v>
      </c>
      <c r="G143" s="3">
        <f t="shared" si="11"/>
        <v>11</v>
      </c>
      <c r="H143" s="2" t="str">
        <f t="shared" si="9"/>
        <v>6' 11"</v>
      </c>
      <c r="I143">
        <v>250</v>
      </c>
      <c r="J143" s="1">
        <v>37943</v>
      </c>
      <c r="K143" t="s">
        <v>24</v>
      </c>
      <c r="L143" t="s">
        <v>15</v>
      </c>
      <c r="M143">
        <v>2022</v>
      </c>
      <c r="N143" t="str">
        <f t="shared" si="10"/>
        <v>Drafted</v>
      </c>
      <c r="O143">
        <v>1</v>
      </c>
      <c r="P143">
        <v>13</v>
      </c>
    </row>
    <row r="144" spans="1:16" x14ac:dyDescent="0.35">
      <c r="A144" t="s">
        <v>383</v>
      </c>
      <c r="B144" t="s">
        <v>384</v>
      </c>
      <c r="C144" t="str">
        <f>CONCATENATE(A144, " ",B144)</f>
        <v>Tari Eason</v>
      </c>
      <c r="D144" t="s">
        <v>13</v>
      </c>
      <c r="E144" s="2">
        <v>45085</v>
      </c>
      <c r="F144" s="3">
        <f t="shared" si="8"/>
        <v>6</v>
      </c>
      <c r="G144" s="3">
        <f t="shared" si="11"/>
        <v>8</v>
      </c>
      <c r="H144" s="2" t="str">
        <f t="shared" si="9"/>
        <v>6' 8"</v>
      </c>
      <c r="I144">
        <v>215</v>
      </c>
      <c r="J144" s="1">
        <v>37021</v>
      </c>
      <c r="K144" t="s">
        <v>24</v>
      </c>
      <c r="L144" t="s">
        <v>325</v>
      </c>
      <c r="M144">
        <v>2022</v>
      </c>
      <c r="N144" t="str">
        <f t="shared" si="10"/>
        <v>Drafted</v>
      </c>
      <c r="O144">
        <v>1</v>
      </c>
      <c r="P144">
        <v>17</v>
      </c>
    </row>
    <row r="145" spans="1:16" x14ac:dyDescent="0.35">
      <c r="A145" t="s">
        <v>60</v>
      </c>
      <c r="B145" t="s">
        <v>385</v>
      </c>
      <c r="C145" t="str">
        <f>CONCATENATE(A145, " ",B145)</f>
        <v>Anthony Edwards</v>
      </c>
      <c r="D145" t="s">
        <v>28</v>
      </c>
      <c r="E145" s="2">
        <v>45081</v>
      </c>
      <c r="F145" s="3">
        <f t="shared" si="8"/>
        <v>6</v>
      </c>
      <c r="G145" s="3">
        <f t="shared" si="11"/>
        <v>4</v>
      </c>
      <c r="H145" s="2" t="str">
        <f t="shared" si="9"/>
        <v>6' 4"</v>
      </c>
      <c r="I145">
        <v>225</v>
      </c>
      <c r="J145" s="1">
        <v>37108</v>
      </c>
      <c r="K145" t="s">
        <v>24</v>
      </c>
      <c r="L145" t="s">
        <v>149</v>
      </c>
      <c r="M145">
        <v>2020</v>
      </c>
      <c r="N145" t="str">
        <f t="shared" si="10"/>
        <v>Drafted</v>
      </c>
      <c r="O145">
        <v>1</v>
      </c>
      <c r="P145">
        <v>1</v>
      </c>
    </row>
    <row r="146" spans="1:16" x14ac:dyDescent="0.35">
      <c r="A146" t="s">
        <v>386</v>
      </c>
      <c r="B146" t="s">
        <v>385</v>
      </c>
      <c r="C146" t="str">
        <f>CONCATENATE(A146, " ",B146)</f>
        <v>Kessler Edwards</v>
      </c>
      <c r="D146" t="s">
        <v>13</v>
      </c>
      <c r="E146" s="2">
        <v>45084</v>
      </c>
      <c r="F146" s="3">
        <f t="shared" si="8"/>
        <v>6</v>
      </c>
      <c r="G146" s="3">
        <f t="shared" si="11"/>
        <v>7</v>
      </c>
      <c r="H146" s="2" t="str">
        <f t="shared" si="9"/>
        <v>6' 7"</v>
      </c>
      <c r="I146">
        <v>203</v>
      </c>
      <c r="J146" s="1">
        <v>36747</v>
      </c>
      <c r="K146" t="s">
        <v>24</v>
      </c>
      <c r="L146" t="s">
        <v>387</v>
      </c>
      <c r="M146">
        <v>2021</v>
      </c>
      <c r="N146" t="str">
        <f t="shared" si="10"/>
        <v>Drafted</v>
      </c>
      <c r="O146">
        <v>2</v>
      </c>
      <c r="P146">
        <v>44</v>
      </c>
    </row>
    <row r="147" spans="1:16" x14ac:dyDescent="0.35">
      <c r="A147" t="s">
        <v>388</v>
      </c>
      <c r="B147" t="s">
        <v>389</v>
      </c>
      <c r="C147" t="str">
        <f>CONCATENATE(A147, " ",B147)</f>
        <v>Keon Ellis</v>
      </c>
      <c r="D147" t="s">
        <v>28</v>
      </c>
      <c r="E147" s="2">
        <v>45080</v>
      </c>
      <c r="F147" s="3">
        <f t="shared" si="8"/>
        <v>6</v>
      </c>
      <c r="G147" s="3">
        <f t="shared" si="11"/>
        <v>3</v>
      </c>
      <c r="H147" s="2" t="str">
        <f t="shared" si="9"/>
        <v>6' 3"</v>
      </c>
      <c r="I147">
        <v>175</v>
      </c>
      <c r="J147" s="1">
        <v>36533</v>
      </c>
      <c r="K147" t="s">
        <v>24</v>
      </c>
      <c r="L147" t="s">
        <v>323</v>
      </c>
      <c r="M147">
        <v>2022</v>
      </c>
      <c r="N147" t="str">
        <f t="shared" si="10"/>
        <v>Undrafted</v>
      </c>
    </row>
    <row r="148" spans="1:16" x14ac:dyDescent="0.35">
      <c r="A148" t="s">
        <v>390</v>
      </c>
      <c r="B148" t="s">
        <v>391</v>
      </c>
      <c r="C148" t="str">
        <f>CONCATENATE(A148, " ",B148)</f>
        <v>Joel Embiid</v>
      </c>
      <c r="D148" t="s">
        <v>23</v>
      </c>
      <c r="E148" s="2">
        <v>36708</v>
      </c>
      <c r="F148" s="3">
        <f t="shared" si="8"/>
        <v>7</v>
      </c>
      <c r="G148" s="3">
        <f t="shared" si="11"/>
        <v>1</v>
      </c>
      <c r="H148" s="2" t="str">
        <f t="shared" si="9"/>
        <v>7' 1"</v>
      </c>
      <c r="I148">
        <v>280</v>
      </c>
      <c r="J148" s="1">
        <v>34409</v>
      </c>
      <c r="K148" t="s">
        <v>392</v>
      </c>
      <c r="L148" t="s">
        <v>29</v>
      </c>
      <c r="M148">
        <v>2014</v>
      </c>
      <c r="N148" t="str">
        <f t="shared" si="10"/>
        <v>Drafted</v>
      </c>
      <c r="O148">
        <v>1</v>
      </c>
      <c r="P148">
        <v>3</v>
      </c>
    </row>
    <row r="149" spans="1:16" x14ac:dyDescent="0.35">
      <c r="A149" t="s">
        <v>393</v>
      </c>
      <c r="B149" t="s">
        <v>394</v>
      </c>
      <c r="C149" t="str">
        <f>CONCATENATE(A149, " ",B149)</f>
        <v>Drew Eubanks</v>
      </c>
      <c r="D149" t="s">
        <v>32</v>
      </c>
      <c r="E149" s="2">
        <v>45087</v>
      </c>
      <c r="F149" s="3">
        <f t="shared" si="8"/>
        <v>6</v>
      </c>
      <c r="G149" s="3">
        <f t="shared" si="11"/>
        <v>10</v>
      </c>
      <c r="H149" s="2" t="str">
        <f t="shared" si="9"/>
        <v>6' 10"</v>
      </c>
      <c r="I149">
        <v>245</v>
      </c>
      <c r="J149" s="1">
        <v>35462</v>
      </c>
      <c r="K149" t="s">
        <v>24</v>
      </c>
      <c r="L149" t="s">
        <v>395</v>
      </c>
      <c r="M149">
        <v>2018</v>
      </c>
      <c r="N149" t="str">
        <f t="shared" si="10"/>
        <v>Undrafted</v>
      </c>
    </row>
    <row r="150" spans="1:16" x14ac:dyDescent="0.35">
      <c r="A150" t="s">
        <v>396</v>
      </c>
      <c r="B150" t="s">
        <v>397</v>
      </c>
      <c r="C150" t="str">
        <f>CONCATENATE(A150, " ",B150)</f>
        <v>Derrick Favors</v>
      </c>
      <c r="D150" t="s">
        <v>13</v>
      </c>
      <c r="E150" s="2">
        <v>45086</v>
      </c>
      <c r="F150" s="3">
        <f t="shared" si="8"/>
        <v>6</v>
      </c>
      <c r="G150" s="3">
        <f t="shared" si="11"/>
        <v>9</v>
      </c>
      <c r="H150" s="2" t="str">
        <f t="shared" si="9"/>
        <v>6' 9"</v>
      </c>
      <c r="I150">
        <v>265</v>
      </c>
      <c r="J150" s="1">
        <v>33434</v>
      </c>
      <c r="K150" t="s">
        <v>24</v>
      </c>
      <c r="L150" t="s">
        <v>46</v>
      </c>
      <c r="M150">
        <v>2010</v>
      </c>
      <c r="N150" t="str">
        <f t="shared" si="10"/>
        <v>Drafted</v>
      </c>
      <c r="O150">
        <v>1</v>
      </c>
      <c r="P150">
        <v>3</v>
      </c>
    </row>
    <row r="151" spans="1:16" x14ac:dyDescent="0.35">
      <c r="A151" t="s">
        <v>398</v>
      </c>
      <c r="B151" t="s">
        <v>399</v>
      </c>
      <c r="C151" t="str">
        <f>CONCATENATE(A151, " ",B151)</f>
        <v>Bruno Fernando</v>
      </c>
      <c r="D151" t="s">
        <v>32</v>
      </c>
      <c r="E151" s="2">
        <v>45087</v>
      </c>
      <c r="F151" s="3">
        <f t="shared" si="8"/>
        <v>6</v>
      </c>
      <c r="G151" s="3">
        <f t="shared" si="11"/>
        <v>10</v>
      </c>
      <c r="H151" s="2" t="str">
        <f t="shared" si="9"/>
        <v>6' 10"</v>
      </c>
      <c r="I151">
        <v>240</v>
      </c>
      <c r="J151" s="1">
        <v>36022</v>
      </c>
      <c r="K151" t="s">
        <v>400</v>
      </c>
      <c r="L151" t="s">
        <v>401</v>
      </c>
      <c r="M151">
        <v>2019</v>
      </c>
      <c r="N151" t="str">
        <f t="shared" si="10"/>
        <v>Drafted</v>
      </c>
      <c r="O151">
        <v>2</v>
      </c>
      <c r="P151">
        <v>34</v>
      </c>
    </row>
    <row r="152" spans="1:16" x14ac:dyDescent="0.35">
      <c r="A152" t="s">
        <v>402</v>
      </c>
      <c r="B152" t="s">
        <v>403</v>
      </c>
      <c r="C152" t="str">
        <f>CONCATENATE(A152, " ",B152)</f>
        <v>Dorian Finney-Smith</v>
      </c>
      <c r="D152" t="s">
        <v>13</v>
      </c>
      <c r="E152" s="2">
        <v>45084</v>
      </c>
      <c r="F152" s="3">
        <f t="shared" si="8"/>
        <v>6</v>
      </c>
      <c r="G152" s="3">
        <f t="shared" si="11"/>
        <v>7</v>
      </c>
      <c r="H152" s="2" t="str">
        <f t="shared" si="9"/>
        <v>6' 7"</v>
      </c>
      <c r="I152">
        <v>220</v>
      </c>
      <c r="J152" s="1">
        <v>34093</v>
      </c>
      <c r="K152" t="s">
        <v>24</v>
      </c>
      <c r="L152" t="s">
        <v>130</v>
      </c>
      <c r="M152">
        <v>2016</v>
      </c>
      <c r="N152" t="str">
        <f t="shared" si="10"/>
        <v>Undrafted</v>
      </c>
    </row>
    <row r="153" spans="1:16" x14ac:dyDescent="0.35">
      <c r="A153" t="s">
        <v>404</v>
      </c>
      <c r="B153" t="s">
        <v>405</v>
      </c>
      <c r="C153" t="str">
        <f>CONCATENATE(A153, " ",B153)</f>
        <v>Malachi Flynn</v>
      </c>
      <c r="D153" t="s">
        <v>28</v>
      </c>
      <c r="E153" s="2">
        <v>45078</v>
      </c>
      <c r="F153" s="3">
        <f t="shared" si="8"/>
        <v>6</v>
      </c>
      <c r="G153" s="3">
        <f t="shared" si="11"/>
        <v>1</v>
      </c>
      <c r="H153" s="2" t="str">
        <f t="shared" si="9"/>
        <v>6' 1"</v>
      </c>
      <c r="I153">
        <v>175</v>
      </c>
      <c r="J153" s="1">
        <v>35924</v>
      </c>
      <c r="K153" t="s">
        <v>24</v>
      </c>
      <c r="L153" t="s">
        <v>406</v>
      </c>
      <c r="M153">
        <v>2020</v>
      </c>
      <c r="N153" t="str">
        <f t="shared" si="10"/>
        <v>Drafted</v>
      </c>
      <c r="O153">
        <v>1</v>
      </c>
      <c r="P153">
        <v>29</v>
      </c>
    </row>
    <row r="154" spans="1:16" x14ac:dyDescent="0.35">
      <c r="A154" t="s">
        <v>407</v>
      </c>
      <c r="B154" t="s">
        <v>408</v>
      </c>
      <c r="C154" t="str">
        <f>CONCATENATE(A154, " ",B154)</f>
        <v>Simone Fontecchio</v>
      </c>
      <c r="D154" t="s">
        <v>13</v>
      </c>
      <c r="E154" s="2">
        <v>45084</v>
      </c>
      <c r="F154" s="3">
        <f t="shared" si="8"/>
        <v>6</v>
      </c>
      <c r="G154" s="3">
        <f t="shared" si="11"/>
        <v>7</v>
      </c>
      <c r="H154" s="2" t="str">
        <f t="shared" si="9"/>
        <v>6' 7"</v>
      </c>
      <c r="I154">
        <v>209</v>
      </c>
      <c r="J154" s="1">
        <v>35042</v>
      </c>
      <c r="K154" t="s">
        <v>409</v>
      </c>
      <c r="L154" t="s">
        <v>139</v>
      </c>
      <c r="M154">
        <v>2022</v>
      </c>
      <c r="N154" t="str">
        <f t="shared" si="10"/>
        <v>Undrafted</v>
      </c>
    </row>
    <row r="155" spans="1:16" x14ac:dyDescent="0.35">
      <c r="A155" t="s">
        <v>410</v>
      </c>
      <c r="B155" t="s">
        <v>411</v>
      </c>
      <c r="C155" t="str">
        <f>CONCATENATE(A155, " ",B155)</f>
        <v>Bryn Forbes</v>
      </c>
      <c r="D155" t="s">
        <v>28</v>
      </c>
      <c r="E155" s="2">
        <v>45079</v>
      </c>
      <c r="F155" s="3">
        <f t="shared" si="8"/>
        <v>6</v>
      </c>
      <c r="G155" s="3">
        <f t="shared" si="11"/>
        <v>2</v>
      </c>
      <c r="H155" s="2" t="str">
        <f t="shared" si="9"/>
        <v>6' 2"</v>
      </c>
      <c r="I155">
        <v>205</v>
      </c>
      <c r="J155" s="1">
        <v>34173</v>
      </c>
      <c r="K155" t="s">
        <v>24</v>
      </c>
      <c r="L155" t="s">
        <v>270</v>
      </c>
      <c r="M155">
        <v>2016</v>
      </c>
      <c r="N155" t="str">
        <f t="shared" si="10"/>
        <v>Undrafted</v>
      </c>
    </row>
    <row r="156" spans="1:16" x14ac:dyDescent="0.35">
      <c r="A156" t="s">
        <v>412</v>
      </c>
      <c r="B156" t="s">
        <v>413</v>
      </c>
      <c r="C156" t="str">
        <f>CONCATENATE(A156, " ",B156)</f>
        <v>Trent Forrest</v>
      </c>
      <c r="D156" t="s">
        <v>28</v>
      </c>
      <c r="E156" s="2">
        <v>45081</v>
      </c>
      <c r="F156" s="3">
        <f t="shared" si="8"/>
        <v>6</v>
      </c>
      <c r="G156" s="3">
        <f t="shared" si="11"/>
        <v>4</v>
      </c>
      <c r="H156" s="2" t="str">
        <f t="shared" si="9"/>
        <v>6' 4"</v>
      </c>
      <c r="I156">
        <v>210</v>
      </c>
      <c r="J156" s="1">
        <v>35958</v>
      </c>
      <c r="K156" t="s">
        <v>24</v>
      </c>
      <c r="L156" t="s">
        <v>109</v>
      </c>
      <c r="M156">
        <v>2020</v>
      </c>
      <c r="N156" t="str">
        <f t="shared" si="10"/>
        <v>Undrafted</v>
      </c>
    </row>
    <row r="157" spans="1:16" x14ac:dyDescent="0.35">
      <c r="A157" t="s">
        <v>254</v>
      </c>
      <c r="B157" t="s">
        <v>414</v>
      </c>
      <c r="C157" t="str">
        <f>CONCATENATE(A157, " ",B157)</f>
        <v>Michael Foster Jr.</v>
      </c>
      <c r="D157" t="s">
        <v>13</v>
      </c>
      <c r="E157" s="2">
        <v>45085</v>
      </c>
      <c r="F157" s="3">
        <f t="shared" si="8"/>
        <v>6</v>
      </c>
      <c r="G157" s="3">
        <f t="shared" si="11"/>
        <v>8</v>
      </c>
      <c r="H157" s="2" t="str">
        <f t="shared" si="9"/>
        <v>6' 8"</v>
      </c>
      <c r="I157">
        <v>250</v>
      </c>
      <c r="J157" s="1">
        <v>37637</v>
      </c>
      <c r="K157" t="s">
        <v>24</v>
      </c>
      <c r="L157" t="s">
        <v>135</v>
      </c>
      <c r="M157">
        <v>2022</v>
      </c>
      <c r="N157" t="str">
        <f t="shared" si="10"/>
        <v>Undrafted</v>
      </c>
    </row>
    <row r="158" spans="1:16" x14ac:dyDescent="0.35">
      <c r="A158" t="s">
        <v>415</v>
      </c>
      <c r="B158" t="s">
        <v>416</v>
      </c>
      <c r="C158" t="str">
        <f>CONCATENATE(A158, " ",B158)</f>
        <v>Evan Fournier</v>
      </c>
      <c r="D158" t="s">
        <v>122</v>
      </c>
      <c r="E158" s="2">
        <v>45083</v>
      </c>
      <c r="F158" s="3">
        <f t="shared" si="8"/>
        <v>6</v>
      </c>
      <c r="G158" s="3">
        <f t="shared" si="11"/>
        <v>6</v>
      </c>
      <c r="H158" s="2" t="str">
        <f t="shared" si="9"/>
        <v>6' 6"</v>
      </c>
      <c r="I158">
        <v>205</v>
      </c>
      <c r="J158" s="1">
        <v>33906</v>
      </c>
      <c r="K158" t="s">
        <v>123</v>
      </c>
      <c r="L158" t="s">
        <v>417</v>
      </c>
      <c r="M158">
        <v>2012</v>
      </c>
      <c r="N158" t="str">
        <f t="shared" si="10"/>
        <v>Drafted</v>
      </c>
      <c r="O158">
        <v>1</v>
      </c>
      <c r="P158">
        <v>20</v>
      </c>
    </row>
    <row r="159" spans="1:16" x14ac:dyDescent="0.35">
      <c r="A159" t="s">
        <v>418</v>
      </c>
      <c r="B159" t="s">
        <v>419</v>
      </c>
      <c r="C159" t="str">
        <f>CONCATENATE(A159, " ",B159)</f>
        <v>De'Aaron Fox</v>
      </c>
      <c r="D159" t="s">
        <v>28</v>
      </c>
      <c r="E159" s="2">
        <v>45080</v>
      </c>
      <c r="F159" s="3">
        <f t="shared" si="8"/>
        <v>6</v>
      </c>
      <c r="G159" s="3">
        <f t="shared" si="11"/>
        <v>3</v>
      </c>
      <c r="H159" s="2" t="str">
        <f t="shared" si="9"/>
        <v>6' 3"</v>
      </c>
      <c r="I159">
        <v>185</v>
      </c>
      <c r="J159" s="1">
        <v>35784</v>
      </c>
      <c r="K159" t="s">
        <v>24</v>
      </c>
      <c r="L159" t="s">
        <v>25</v>
      </c>
      <c r="M159">
        <v>2017</v>
      </c>
      <c r="N159" t="str">
        <f t="shared" si="10"/>
        <v>Drafted</v>
      </c>
      <c r="O159">
        <v>1</v>
      </c>
      <c r="P159">
        <v>5</v>
      </c>
    </row>
    <row r="160" spans="1:16" x14ac:dyDescent="0.35">
      <c r="A160" t="s">
        <v>420</v>
      </c>
      <c r="B160" t="s">
        <v>421</v>
      </c>
      <c r="C160" t="str">
        <f>CONCATENATE(A160, " ",B160)</f>
        <v>Markelle Fultz</v>
      </c>
      <c r="D160" t="s">
        <v>28</v>
      </c>
      <c r="E160" s="2">
        <v>45081</v>
      </c>
      <c r="F160" s="3">
        <f t="shared" si="8"/>
        <v>6</v>
      </c>
      <c r="G160" s="3">
        <f t="shared" si="11"/>
        <v>4</v>
      </c>
      <c r="H160" s="2" t="str">
        <f t="shared" si="9"/>
        <v>6' 4"</v>
      </c>
      <c r="I160">
        <v>209</v>
      </c>
      <c r="J160" s="1">
        <v>35944</v>
      </c>
      <c r="K160" t="s">
        <v>24</v>
      </c>
      <c r="L160" t="s">
        <v>422</v>
      </c>
      <c r="M160">
        <v>2017</v>
      </c>
      <c r="N160" t="str">
        <f t="shared" si="10"/>
        <v>Drafted</v>
      </c>
      <c r="O160">
        <v>1</v>
      </c>
      <c r="P160">
        <v>1</v>
      </c>
    </row>
    <row r="161" spans="1:16" x14ac:dyDescent="0.35">
      <c r="A161" t="s">
        <v>423</v>
      </c>
      <c r="B161" t="s">
        <v>424</v>
      </c>
      <c r="C161" t="str">
        <f>CONCATENATE(A161, " ",B161)</f>
        <v>Wenyen Gabriel</v>
      </c>
      <c r="D161" t="s">
        <v>13</v>
      </c>
      <c r="E161" s="2">
        <v>45086</v>
      </c>
      <c r="F161" s="3">
        <f t="shared" si="8"/>
        <v>6</v>
      </c>
      <c r="G161" s="3">
        <f t="shared" si="11"/>
        <v>9</v>
      </c>
      <c r="H161" s="2" t="str">
        <f t="shared" si="9"/>
        <v>6' 9"</v>
      </c>
      <c r="I161">
        <v>205</v>
      </c>
      <c r="J161" s="1">
        <v>35515</v>
      </c>
      <c r="K161" t="s">
        <v>425</v>
      </c>
      <c r="L161" t="s">
        <v>25</v>
      </c>
      <c r="M161">
        <v>2018</v>
      </c>
      <c r="N161" t="str">
        <f t="shared" si="10"/>
        <v>Undrafted</v>
      </c>
    </row>
    <row r="162" spans="1:16" x14ac:dyDescent="0.35">
      <c r="A162" t="s">
        <v>426</v>
      </c>
      <c r="B162" t="s">
        <v>427</v>
      </c>
      <c r="C162" t="str">
        <f>CONCATENATE(A162, " ",B162)</f>
        <v>Daniel Gafford</v>
      </c>
      <c r="D162" t="s">
        <v>32</v>
      </c>
      <c r="E162" s="2">
        <v>45087</v>
      </c>
      <c r="F162" s="3">
        <f t="shared" si="8"/>
        <v>6</v>
      </c>
      <c r="G162" s="3">
        <f t="shared" si="11"/>
        <v>10</v>
      </c>
      <c r="H162" s="2" t="str">
        <f t="shared" si="9"/>
        <v>6' 10"</v>
      </c>
      <c r="I162">
        <v>234</v>
      </c>
      <c r="J162" s="1">
        <v>36069</v>
      </c>
      <c r="K162" t="s">
        <v>24</v>
      </c>
      <c r="L162" t="s">
        <v>141</v>
      </c>
      <c r="M162">
        <v>2019</v>
      </c>
      <c r="N162" t="str">
        <f t="shared" si="10"/>
        <v>Drafted</v>
      </c>
      <c r="O162">
        <v>2</v>
      </c>
      <c r="P162">
        <v>38</v>
      </c>
    </row>
    <row r="163" spans="1:16" x14ac:dyDescent="0.35">
      <c r="A163" t="s">
        <v>125</v>
      </c>
      <c r="B163" t="s">
        <v>428</v>
      </c>
      <c r="C163" t="str">
        <f>CONCATENATE(A163, " ",B163)</f>
        <v>Darius Garland</v>
      </c>
      <c r="D163" t="s">
        <v>28</v>
      </c>
      <c r="E163" s="2">
        <v>45078</v>
      </c>
      <c r="F163" s="3">
        <f t="shared" si="8"/>
        <v>6</v>
      </c>
      <c r="G163" s="3">
        <f t="shared" si="11"/>
        <v>1</v>
      </c>
      <c r="H163" s="2" t="str">
        <f t="shared" si="9"/>
        <v>6' 1"</v>
      </c>
      <c r="I163">
        <v>192</v>
      </c>
      <c r="J163" s="1">
        <v>36551</v>
      </c>
      <c r="K163" t="s">
        <v>24</v>
      </c>
      <c r="L163" t="s">
        <v>429</v>
      </c>
      <c r="M163">
        <v>2019</v>
      </c>
      <c r="N163" t="str">
        <f t="shared" si="10"/>
        <v>Drafted</v>
      </c>
      <c r="O163">
        <v>1</v>
      </c>
      <c r="P163">
        <v>5</v>
      </c>
    </row>
    <row r="164" spans="1:16" x14ac:dyDescent="0.35">
      <c r="A164" t="s">
        <v>430</v>
      </c>
      <c r="B164" t="s">
        <v>431</v>
      </c>
      <c r="C164" t="str">
        <f>CONCATENATE(A164, " ",B164)</f>
        <v>Usman Garuba</v>
      </c>
      <c r="D164" t="s">
        <v>13</v>
      </c>
      <c r="E164" s="2">
        <v>45085</v>
      </c>
      <c r="F164" s="3">
        <f t="shared" si="8"/>
        <v>6</v>
      </c>
      <c r="G164" s="3">
        <f t="shared" si="11"/>
        <v>8</v>
      </c>
      <c r="H164" s="2" t="str">
        <f t="shared" si="9"/>
        <v>6' 8"</v>
      </c>
      <c r="I164">
        <v>229</v>
      </c>
      <c r="J164" s="1">
        <v>37324</v>
      </c>
      <c r="K164" t="s">
        <v>33</v>
      </c>
      <c r="L164" t="s">
        <v>352</v>
      </c>
      <c r="M164">
        <v>2021</v>
      </c>
      <c r="N164" t="str">
        <f t="shared" si="10"/>
        <v>Drafted</v>
      </c>
      <c r="O164">
        <v>1</v>
      </c>
      <c r="P164">
        <v>23</v>
      </c>
    </row>
    <row r="165" spans="1:16" x14ac:dyDescent="0.35">
      <c r="A165" t="s">
        <v>350</v>
      </c>
      <c r="B165" t="s">
        <v>432</v>
      </c>
      <c r="C165" t="str">
        <f>CONCATENATE(A165, " ",B165)</f>
        <v>Luka Garza</v>
      </c>
      <c r="D165" t="s">
        <v>18</v>
      </c>
      <c r="E165" s="2">
        <v>45087</v>
      </c>
      <c r="F165" s="3">
        <f t="shared" si="8"/>
        <v>6</v>
      </c>
      <c r="G165" s="3">
        <f t="shared" si="11"/>
        <v>10</v>
      </c>
      <c r="H165" s="2" t="str">
        <f t="shared" si="9"/>
        <v>6' 10"</v>
      </c>
      <c r="I165">
        <v>243</v>
      </c>
      <c r="J165" s="1">
        <v>36156</v>
      </c>
      <c r="K165" t="s">
        <v>24</v>
      </c>
      <c r="L165" t="s">
        <v>433</v>
      </c>
      <c r="M165">
        <v>2021</v>
      </c>
      <c r="N165" t="str">
        <f t="shared" si="10"/>
        <v>Drafted</v>
      </c>
      <c r="O165">
        <v>2</v>
      </c>
      <c r="P165">
        <v>52</v>
      </c>
    </row>
    <row r="166" spans="1:16" x14ac:dyDescent="0.35">
      <c r="A166" t="s">
        <v>434</v>
      </c>
      <c r="B166" t="s">
        <v>435</v>
      </c>
      <c r="C166" t="str">
        <f>CONCATENATE(A166, " ",B166)</f>
        <v>Rudy Gay</v>
      </c>
      <c r="D166" t="s">
        <v>49</v>
      </c>
      <c r="E166" s="2">
        <v>45085</v>
      </c>
      <c r="F166" s="3">
        <f t="shared" si="8"/>
        <v>6</v>
      </c>
      <c r="G166" s="3">
        <f t="shared" si="11"/>
        <v>8</v>
      </c>
      <c r="H166" s="2" t="str">
        <f t="shared" si="9"/>
        <v>6' 8"</v>
      </c>
      <c r="I166">
        <v>250</v>
      </c>
      <c r="J166" s="1">
        <v>31641</v>
      </c>
      <c r="K166" t="s">
        <v>24</v>
      </c>
      <c r="L166" t="s">
        <v>179</v>
      </c>
      <c r="M166">
        <v>2006</v>
      </c>
      <c r="N166" t="str">
        <f t="shared" si="10"/>
        <v>Drafted</v>
      </c>
      <c r="O166">
        <v>1</v>
      </c>
      <c r="P166">
        <v>8</v>
      </c>
    </row>
    <row r="167" spans="1:16" x14ac:dyDescent="0.35">
      <c r="A167" t="s">
        <v>436</v>
      </c>
      <c r="B167" t="s">
        <v>437</v>
      </c>
      <c r="C167" t="str">
        <f>CONCATENATE(A167, " ",B167)</f>
        <v>Paul George</v>
      </c>
      <c r="D167" t="s">
        <v>13</v>
      </c>
      <c r="E167" s="2">
        <v>45085</v>
      </c>
      <c r="F167" s="3">
        <f t="shared" si="8"/>
        <v>6</v>
      </c>
      <c r="G167" s="3">
        <f t="shared" si="11"/>
        <v>8</v>
      </c>
      <c r="H167" s="2" t="str">
        <f t="shared" si="9"/>
        <v>6' 8"</v>
      </c>
      <c r="I167">
        <v>220</v>
      </c>
      <c r="J167" s="1">
        <v>32995</v>
      </c>
      <c r="K167" t="s">
        <v>24</v>
      </c>
      <c r="L167" t="s">
        <v>438</v>
      </c>
      <c r="M167">
        <v>2010</v>
      </c>
      <c r="N167" t="str">
        <f t="shared" si="10"/>
        <v>Drafted</v>
      </c>
      <c r="O167">
        <v>1</v>
      </c>
      <c r="P167">
        <v>10</v>
      </c>
    </row>
    <row r="168" spans="1:16" x14ac:dyDescent="0.35">
      <c r="A168" t="s">
        <v>439</v>
      </c>
      <c r="B168" t="s">
        <v>440</v>
      </c>
      <c r="C168" t="str">
        <f>CONCATENATE(A168, " ",B168)</f>
        <v>Taj Gibson</v>
      </c>
      <c r="D168" t="s">
        <v>13</v>
      </c>
      <c r="E168" s="2">
        <v>45086</v>
      </c>
      <c r="F168" s="3">
        <f t="shared" si="8"/>
        <v>6</v>
      </c>
      <c r="G168" s="3">
        <f t="shared" si="11"/>
        <v>9</v>
      </c>
      <c r="H168" s="2" t="str">
        <f t="shared" si="9"/>
        <v>6' 9"</v>
      </c>
      <c r="I168">
        <v>232</v>
      </c>
      <c r="J168" s="1">
        <v>31222</v>
      </c>
      <c r="K168" t="s">
        <v>24</v>
      </c>
      <c r="L168" t="s">
        <v>328</v>
      </c>
      <c r="M168">
        <v>2009</v>
      </c>
      <c r="N168" t="str">
        <f t="shared" si="10"/>
        <v>Drafted</v>
      </c>
      <c r="O168">
        <v>1</v>
      </c>
      <c r="P168">
        <v>26</v>
      </c>
    </row>
    <row r="169" spans="1:16" x14ac:dyDescent="0.35">
      <c r="A169" t="s">
        <v>271</v>
      </c>
      <c r="B169" t="s">
        <v>441</v>
      </c>
      <c r="C169" t="str">
        <f>CONCATENATE(A169, " ",B169)</f>
        <v>Josh Giddey</v>
      </c>
      <c r="D169" t="s">
        <v>28</v>
      </c>
      <c r="E169" s="2">
        <v>45085</v>
      </c>
      <c r="F169" s="3">
        <f t="shared" si="8"/>
        <v>6</v>
      </c>
      <c r="G169" s="3">
        <f t="shared" si="11"/>
        <v>8</v>
      </c>
      <c r="H169" s="2" t="str">
        <f t="shared" si="9"/>
        <v>6' 8"</v>
      </c>
      <c r="I169">
        <v>216</v>
      </c>
      <c r="J169" s="1">
        <v>37539</v>
      </c>
      <c r="K169" t="s">
        <v>296</v>
      </c>
      <c r="L169" t="s">
        <v>442</v>
      </c>
      <c r="M169">
        <v>2021</v>
      </c>
      <c r="N169" t="str">
        <f t="shared" si="10"/>
        <v>Drafted</v>
      </c>
      <c r="O169">
        <v>1</v>
      </c>
      <c r="P169">
        <v>6</v>
      </c>
    </row>
    <row r="170" spans="1:16" x14ac:dyDescent="0.35">
      <c r="A170" t="s">
        <v>443</v>
      </c>
      <c r="B170" t="s">
        <v>444</v>
      </c>
      <c r="C170" t="str">
        <f>CONCATENATE(A170, " ",B170)</f>
        <v>Shai Gilgeous-Alexander</v>
      </c>
      <c r="D170" t="s">
        <v>28</v>
      </c>
      <c r="E170" s="2">
        <v>45083</v>
      </c>
      <c r="F170" s="3">
        <f t="shared" si="8"/>
        <v>6</v>
      </c>
      <c r="G170" s="3">
        <f t="shared" si="11"/>
        <v>6</v>
      </c>
      <c r="H170" s="2" t="str">
        <f t="shared" si="9"/>
        <v>6' 6"</v>
      </c>
      <c r="I170">
        <v>195</v>
      </c>
      <c r="J170" s="1">
        <v>35988</v>
      </c>
      <c r="K170" t="s">
        <v>37</v>
      </c>
      <c r="L170" t="s">
        <v>25</v>
      </c>
      <c r="M170">
        <v>2018</v>
      </c>
      <c r="N170" t="str">
        <f t="shared" si="10"/>
        <v>Drafted</v>
      </c>
      <c r="O170">
        <v>1</v>
      </c>
      <c r="P170">
        <v>11</v>
      </c>
    </row>
    <row r="171" spans="1:16" x14ac:dyDescent="0.35">
      <c r="A171" t="s">
        <v>60</v>
      </c>
      <c r="B171" t="s">
        <v>445</v>
      </c>
      <c r="C171" t="str">
        <f>CONCATENATE(A171, " ",B171)</f>
        <v>Anthony Gill</v>
      </c>
      <c r="D171" t="s">
        <v>13</v>
      </c>
      <c r="E171" s="2">
        <v>45085</v>
      </c>
      <c r="F171" s="3">
        <f t="shared" si="8"/>
        <v>6</v>
      </c>
      <c r="G171" s="3">
        <f t="shared" si="11"/>
        <v>8</v>
      </c>
      <c r="H171" s="2" t="str">
        <f t="shared" si="9"/>
        <v>6' 8"</v>
      </c>
      <c r="I171">
        <v>230</v>
      </c>
      <c r="J171" s="1">
        <v>33894</v>
      </c>
      <c r="K171" t="s">
        <v>24</v>
      </c>
      <c r="L171" t="s">
        <v>197</v>
      </c>
      <c r="M171">
        <v>2020</v>
      </c>
      <c r="N171" t="str">
        <f t="shared" si="10"/>
        <v>Undrafted</v>
      </c>
    </row>
    <row r="172" spans="1:16" x14ac:dyDescent="0.35">
      <c r="A172" t="s">
        <v>446</v>
      </c>
      <c r="B172" t="s">
        <v>447</v>
      </c>
      <c r="C172" t="str">
        <f>CONCATENATE(A172, " ",B172)</f>
        <v>Jacob Gilyard</v>
      </c>
      <c r="D172" t="s">
        <v>28</v>
      </c>
      <c r="E172" s="2">
        <v>45055</v>
      </c>
      <c r="F172" s="3">
        <f t="shared" si="8"/>
        <v>5</v>
      </c>
      <c r="G172" s="3">
        <f t="shared" si="11"/>
        <v>9</v>
      </c>
      <c r="H172" s="2" t="str">
        <f t="shared" si="9"/>
        <v>5' 9"</v>
      </c>
      <c r="I172">
        <v>160</v>
      </c>
      <c r="J172" s="1">
        <v>35990</v>
      </c>
      <c r="K172" t="s">
        <v>24</v>
      </c>
      <c r="L172" t="s">
        <v>448</v>
      </c>
      <c r="M172">
        <v>2022</v>
      </c>
      <c r="N172" t="str">
        <f t="shared" si="10"/>
        <v>Undrafted</v>
      </c>
    </row>
    <row r="173" spans="1:16" x14ac:dyDescent="0.35">
      <c r="A173" t="s">
        <v>434</v>
      </c>
      <c r="B173" t="s">
        <v>449</v>
      </c>
      <c r="C173" t="str">
        <f>CONCATENATE(A173, " ",B173)</f>
        <v>Rudy Gobert</v>
      </c>
      <c r="D173" t="s">
        <v>18</v>
      </c>
      <c r="E173" s="2">
        <v>45108</v>
      </c>
      <c r="F173" s="3">
        <f t="shared" si="8"/>
        <v>7</v>
      </c>
      <c r="G173" s="3">
        <f t="shared" si="11"/>
        <v>1</v>
      </c>
      <c r="H173" s="2" t="str">
        <f t="shared" si="9"/>
        <v>7' 1"</v>
      </c>
      <c r="I173">
        <v>258</v>
      </c>
      <c r="J173" s="1">
        <v>33781</v>
      </c>
      <c r="K173" t="s">
        <v>123</v>
      </c>
      <c r="L173" t="s">
        <v>450</v>
      </c>
      <c r="M173">
        <v>2013</v>
      </c>
      <c r="N173" t="str">
        <f t="shared" si="10"/>
        <v>Drafted</v>
      </c>
      <c r="O173">
        <v>1</v>
      </c>
      <c r="P173">
        <v>27</v>
      </c>
    </row>
    <row r="174" spans="1:16" x14ac:dyDescent="0.35">
      <c r="A174" t="s">
        <v>276</v>
      </c>
      <c r="B174" t="s">
        <v>451</v>
      </c>
      <c r="C174" t="str">
        <f>CONCATENATE(A174, " ",B174)</f>
        <v>Jordan Goodwin</v>
      </c>
      <c r="D174" t="s">
        <v>28</v>
      </c>
      <c r="E174" s="2">
        <v>45080</v>
      </c>
      <c r="F174" s="3">
        <f t="shared" si="8"/>
        <v>6</v>
      </c>
      <c r="G174" s="3">
        <f t="shared" si="11"/>
        <v>3</v>
      </c>
      <c r="H174" s="2" t="str">
        <f t="shared" si="9"/>
        <v>6' 3"</v>
      </c>
      <c r="I174">
        <v>200</v>
      </c>
      <c r="J174" s="1">
        <v>36091</v>
      </c>
      <c r="K174" t="s">
        <v>24</v>
      </c>
      <c r="L174" t="s">
        <v>452</v>
      </c>
      <c r="M174">
        <v>2021</v>
      </c>
      <c r="N174" t="str">
        <f t="shared" si="10"/>
        <v>Undrafted</v>
      </c>
    </row>
    <row r="175" spans="1:16" x14ac:dyDescent="0.35">
      <c r="A175" t="s">
        <v>453</v>
      </c>
      <c r="B175" t="s">
        <v>454</v>
      </c>
      <c r="C175" t="str">
        <f>CONCATENATE(A175, " ",B175)</f>
        <v>Aaron Gordon</v>
      </c>
      <c r="D175" t="s">
        <v>13</v>
      </c>
      <c r="E175" s="2">
        <v>45085</v>
      </c>
      <c r="F175" s="3">
        <f t="shared" si="8"/>
        <v>6</v>
      </c>
      <c r="G175" s="3">
        <f t="shared" si="11"/>
        <v>8</v>
      </c>
      <c r="H175" s="2" t="str">
        <f t="shared" si="9"/>
        <v>6' 8"</v>
      </c>
      <c r="I175">
        <v>235</v>
      </c>
      <c r="J175" s="1">
        <v>34958</v>
      </c>
      <c r="K175" t="s">
        <v>24</v>
      </c>
      <c r="L175" t="s">
        <v>79</v>
      </c>
      <c r="M175">
        <v>2014</v>
      </c>
      <c r="N175" t="str">
        <f t="shared" si="10"/>
        <v>Drafted</v>
      </c>
      <c r="O175">
        <v>1</v>
      </c>
      <c r="P175">
        <v>4</v>
      </c>
    </row>
    <row r="176" spans="1:16" x14ac:dyDescent="0.35">
      <c r="A176" t="s">
        <v>455</v>
      </c>
      <c r="B176" t="s">
        <v>454</v>
      </c>
      <c r="C176" t="str">
        <f>CONCATENATE(A176, " ",B176)</f>
        <v>Eric Gordon</v>
      </c>
      <c r="D176" t="s">
        <v>28</v>
      </c>
      <c r="E176" s="2">
        <v>45080</v>
      </c>
      <c r="F176" s="3">
        <f t="shared" si="8"/>
        <v>6</v>
      </c>
      <c r="G176" s="3">
        <f t="shared" si="11"/>
        <v>3</v>
      </c>
      <c r="H176" s="2" t="str">
        <f t="shared" si="9"/>
        <v>6' 3"</v>
      </c>
      <c r="I176">
        <v>215</v>
      </c>
      <c r="J176" s="1">
        <v>32502</v>
      </c>
      <c r="K176" t="s">
        <v>24</v>
      </c>
      <c r="L176" t="s">
        <v>65</v>
      </c>
      <c r="M176">
        <v>2008</v>
      </c>
      <c r="N176" t="str">
        <f t="shared" si="10"/>
        <v>Drafted</v>
      </c>
      <c r="O176">
        <v>1</v>
      </c>
      <c r="P176">
        <v>7</v>
      </c>
    </row>
    <row r="177" spans="1:16" x14ac:dyDescent="0.35">
      <c r="A177" t="s">
        <v>456</v>
      </c>
      <c r="B177" t="s">
        <v>457</v>
      </c>
      <c r="C177" t="str">
        <f>CONCATENATE(A177, " ",B177)</f>
        <v>Devonte' Graham</v>
      </c>
      <c r="D177" t="s">
        <v>28</v>
      </c>
      <c r="E177" s="2">
        <v>45078</v>
      </c>
      <c r="F177" s="3">
        <f t="shared" si="8"/>
        <v>6</v>
      </c>
      <c r="G177" s="3">
        <f t="shared" si="11"/>
        <v>1</v>
      </c>
      <c r="H177" s="2" t="str">
        <f t="shared" si="9"/>
        <v>6' 1"</v>
      </c>
      <c r="I177">
        <v>195</v>
      </c>
      <c r="J177" s="1">
        <v>34752</v>
      </c>
      <c r="K177" t="s">
        <v>24</v>
      </c>
      <c r="L177" t="s">
        <v>29</v>
      </c>
      <c r="M177">
        <v>2018</v>
      </c>
      <c r="N177" t="str">
        <f t="shared" si="10"/>
        <v>Drafted</v>
      </c>
      <c r="O177">
        <v>2</v>
      </c>
      <c r="P177">
        <v>34</v>
      </c>
    </row>
    <row r="178" spans="1:16" x14ac:dyDescent="0.35">
      <c r="A178" t="s">
        <v>458</v>
      </c>
      <c r="B178" t="s">
        <v>459</v>
      </c>
      <c r="C178" t="str">
        <f>CONCATENATE(A178, " ",B178)</f>
        <v>Jerami Grant</v>
      </c>
      <c r="D178" t="s">
        <v>13</v>
      </c>
      <c r="E178" s="2">
        <v>45085</v>
      </c>
      <c r="F178" s="3">
        <f t="shared" si="8"/>
        <v>6</v>
      </c>
      <c r="G178" s="3">
        <f t="shared" si="11"/>
        <v>8</v>
      </c>
      <c r="H178" s="2" t="str">
        <f t="shared" si="9"/>
        <v>6' 8"</v>
      </c>
      <c r="I178">
        <v>210</v>
      </c>
      <c r="J178" s="1">
        <v>34405</v>
      </c>
      <c r="K178" t="s">
        <v>24</v>
      </c>
      <c r="L178" t="s">
        <v>157</v>
      </c>
      <c r="M178">
        <v>2014</v>
      </c>
      <c r="N178" t="str">
        <f t="shared" si="10"/>
        <v>Drafted</v>
      </c>
      <c r="O178">
        <v>2</v>
      </c>
      <c r="P178">
        <v>39</v>
      </c>
    </row>
    <row r="179" spans="1:16" x14ac:dyDescent="0.35">
      <c r="A179" t="s">
        <v>460</v>
      </c>
      <c r="B179" t="s">
        <v>461</v>
      </c>
      <c r="C179" t="str">
        <f>CONCATENATE(A179, " ",B179)</f>
        <v>RaiQuan Gray</v>
      </c>
      <c r="D179" t="s">
        <v>13</v>
      </c>
      <c r="E179" s="2">
        <v>45084</v>
      </c>
      <c r="F179" s="3">
        <f t="shared" si="8"/>
        <v>6</v>
      </c>
      <c r="G179" s="3">
        <f t="shared" si="11"/>
        <v>7</v>
      </c>
      <c r="H179" s="2" t="str">
        <f t="shared" si="9"/>
        <v>6' 7"</v>
      </c>
      <c r="I179">
        <v>269</v>
      </c>
      <c r="J179" s="1">
        <v>36348</v>
      </c>
      <c r="K179" t="s">
        <v>24</v>
      </c>
      <c r="L179" t="s">
        <v>109</v>
      </c>
      <c r="M179">
        <v>2021</v>
      </c>
      <c r="N179" t="str">
        <f t="shared" si="10"/>
        <v>Drafted</v>
      </c>
      <c r="O179">
        <v>2</v>
      </c>
      <c r="P179">
        <v>59</v>
      </c>
    </row>
    <row r="180" spans="1:16" x14ac:dyDescent="0.35">
      <c r="A180" t="s">
        <v>462</v>
      </c>
      <c r="B180" t="s">
        <v>463</v>
      </c>
      <c r="C180" t="str">
        <f>CONCATENATE(A180, " ",B180)</f>
        <v>AJ Green</v>
      </c>
      <c r="D180" t="s">
        <v>28</v>
      </c>
      <c r="E180" s="2">
        <v>45082</v>
      </c>
      <c r="F180" s="3">
        <f t="shared" si="8"/>
        <v>6</v>
      </c>
      <c r="G180" s="3">
        <f t="shared" si="11"/>
        <v>5</v>
      </c>
      <c r="H180" s="2" t="str">
        <f t="shared" si="9"/>
        <v>6' 5"</v>
      </c>
      <c r="I180">
        <v>190</v>
      </c>
      <c r="J180" s="1">
        <v>36430</v>
      </c>
      <c r="K180" t="s">
        <v>24</v>
      </c>
      <c r="L180" t="s">
        <v>464</v>
      </c>
      <c r="M180">
        <v>2022</v>
      </c>
      <c r="N180" t="str">
        <f t="shared" si="10"/>
        <v>Undrafted</v>
      </c>
    </row>
    <row r="181" spans="1:16" x14ac:dyDescent="0.35">
      <c r="A181" t="s">
        <v>465</v>
      </c>
      <c r="B181" t="s">
        <v>463</v>
      </c>
      <c r="C181" t="str">
        <f>CONCATENATE(A181, " ",B181)</f>
        <v>Danny Green</v>
      </c>
      <c r="D181" t="s">
        <v>28</v>
      </c>
      <c r="E181" s="2">
        <v>45083</v>
      </c>
      <c r="F181" s="3">
        <f t="shared" si="8"/>
        <v>6</v>
      </c>
      <c r="G181" s="3">
        <f t="shared" si="11"/>
        <v>6</v>
      </c>
      <c r="H181" s="2" t="str">
        <f t="shared" si="9"/>
        <v>6' 6"</v>
      </c>
      <c r="I181">
        <v>215</v>
      </c>
      <c r="J181" s="1">
        <v>31950</v>
      </c>
      <c r="K181" t="s">
        <v>24</v>
      </c>
      <c r="L181" t="s">
        <v>61</v>
      </c>
      <c r="M181">
        <v>2009</v>
      </c>
      <c r="N181" t="str">
        <f t="shared" si="10"/>
        <v>Drafted</v>
      </c>
      <c r="O181">
        <v>2</v>
      </c>
      <c r="P181">
        <v>46</v>
      </c>
    </row>
    <row r="182" spans="1:16" x14ac:dyDescent="0.35">
      <c r="A182" t="s">
        <v>466</v>
      </c>
      <c r="B182" t="s">
        <v>463</v>
      </c>
      <c r="C182" t="str">
        <f>CONCATENATE(A182, " ",B182)</f>
        <v>Draymond Green</v>
      </c>
      <c r="D182" t="s">
        <v>13</v>
      </c>
      <c r="E182" s="2">
        <v>45083</v>
      </c>
      <c r="F182" s="3">
        <f t="shared" si="8"/>
        <v>6</v>
      </c>
      <c r="G182" s="3">
        <f t="shared" si="11"/>
        <v>6</v>
      </c>
      <c r="H182" s="2" t="str">
        <f t="shared" si="9"/>
        <v>6' 6"</v>
      </c>
      <c r="I182">
        <v>230</v>
      </c>
      <c r="J182" s="1">
        <v>32936</v>
      </c>
      <c r="K182" t="s">
        <v>24</v>
      </c>
      <c r="L182" t="s">
        <v>270</v>
      </c>
      <c r="M182">
        <v>2012</v>
      </c>
      <c r="N182" t="str">
        <f t="shared" si="10"/>
        <v>Drafted</v>
      </c>
      <c r="O182">
        <v>2</v>
      </c>
      <c r="P182">
        <v>35</v>
      </c>
    </row>
    <row r="183" spans="1:16" x14ac:dyDescent="0.35">
      <c r="A183" t="s">
        <v>467</v>
      </c>
      <c r="B183" t="s">
        <v>463</v>
      </c>
      <c r="C183" t="str">
        <f>CONCATENATE(A183, " ",B183)</f>
        <v>JaMychal Green</v>
      </c>
      <c r="D183" t="s">
        <v>32</v>
      </c>
      <c r="E183" s="2">
        <v>45086</v>
      </c>
      <c r="F183" s="3">
        <f t="shared" si="8"/>
        <v>6</v>
      </c>
      <c r="G183" s="3">
        <f t="shared" si="11"/>
        <v>9</v>
      </c>
      <c r="H183" s="2" t="str">
        <f t="shared" si="9"/>
        <v>6' 9"</v>
      </c>
      <c r="I183">
        <v>227</v>
      </c>
      <c r="J183" s="1">
        <v>33045</v>
      </c>
      <c r="K183" t="s">
        <v>24</v>
      </c>
      <c r="L183" t="s">
        <v>323</v>
      </c>
      <c r="M183">
        <v>2014</v>
      </c>
      <c r="N183" t="str">
        <f t="shared" si="10"/>
        <v>Undrafted</v>
      </c>
    </row>
    <row r="184" spans="1:16" x14ac:dyDescent="0.35">
      <c r="A184" t="s">
        <v>214</v>
      </c>
      <c r="B184" t="s">
        <v>463</v>
      </c>
      <c r="C184" t="str">
        <f>CONCATENATE(A184, " ",B184)</f>
        <v>Jalen Green</v>
      </c>
      <c r="D184" t="s">
        <v>28</v>
      </c>
      <c r="E184" s="2">
        <v>45081</v>
      </c>
      <c r="F184" s="3">
        <f t="shared" si="8"/>
        <v>6</v>
      </c>
      <c r="G184" s="3">
        <f t="shared" si="11"/>
        <v>4</v>
      </c>
      <c r="H184" s="2" t="str">
        <f t="shared" si="9"/>
        <v>6' 4"</v>
      </c>
      <c r="I184">
        <v>186</v>
      </c>
      <c r="J184" s="1">
        <v>37296</v>
      </c>
      <c r="K184" t="s">
        <v>24</v>
      </c>
      <c r="L184" t="s">
        <v>135</v>
      </c>
      <c r="M184">
        <v>2021</v>
      </c>
      <c r="N184" t="str">
        <f t="shared" si="10"/>
        <v>Drafted</v>
      </c>
      <c r="O184">
        <v>1</v>
      </c>
      <c r="P184">
        <v>2</v>
      </c>
    </row>
    <row r="185" spans="1:16" x14ac:dyDescent="0.35">
      <c r="A185" t="s">
        <v>468</v>
      </c>
      <c r="B185" t="s">
        <v>463</v>
      </c>
      <c r="C185" t="str">
        <f>CONCATENATE(A185, " ",B185)</f>
        <v>Javonte Green</v>
      </c>
      <c r="D185" t="s">
        <v>28</v>
      </c>
      <c r="E185" s="2">
        <v>45082</v>
      </c>
      <c r="F185" s="3">
        <f t="shared" si="8"/>
        <v>6</v>
      </c>
      <c r="G185" s="3">
        <f t="shared" si="11"/>
        <v>5</v>
      </c>
      <c r="H185" s="2" t="str">
        <f t="shared" si="9"/>
        <v>6' 5"</v>
      </c>
      <c r="I185">
        <v>205</v>
      </c>
      <c r="J185" s="1">
        <v>34173</v>
      </c>
      <c r="K185" t="s">
        <v>24</v>
      </c>
      <c r="L185" t="s">
        <v>469</v>
      </c>
      <c r="M185">
        <v>2019</v>
      </c>
      <c r="N185" t="str">
        <f t="shared" si="10"/>
        <v>Undrafted</v>
      </c>
    </row>
    <row r="186" spans="1:16" x14ac:dyDescent="0.35">
      <c r="A186" t="s">
        <v>362</v>
      </c>
      <c r="B186" t="s">
        <v>463</v>
      </c>
      <c r="C186" t="str">
        <f>CONCATENATE(A186, " ",B186)</f>
        <v>Jeff Green</v>
      </c>
      <c r="D186" t="s">
        <v>13</v>
      </c>
      <c r="E186" s="2">
        <v>45085</v>
      </c>
      <c r="F186" s="3">
        <f t="shared" si="8"/>
        <v>6</v>
      </c>
      <c r="G186" s="3">
        <f t="shared" si="11"/>
        <v>8</v>
      </c>
      <c r="H186" s="2" t="str">
        <f t="shared" si="9"/>
        <v>6' 8"</v>
      </c>
      <c r="I186">
        <v>235</v>
      </c>
      <c r="J186" s="1">
        <v>31652</v>
      </c>
      <c r="K186" t="s">
        <v>24</v>
      </c>
      <c r="L186" t="s">
        <v>470</v>
      </c>
      <c r="M186">
        <v>2007</v>
      </c>
      <c r="N186" t="str">
        <f t="shared" si="10"/>
        <v>Drafted</v>
      </c>
      <c r="O186">
        <v>1</v>
      </c>
      <c r="P186">
        <v>5</v>
      </c>
    </row>
    <row r="187" spans="1:16" x14ac:dyDescent="0.35">
      <c r="A187" t="s">
        <v>271</v>
      </c>
      <c r="B187" t="s">
        <v>463</v>
      </c>
      <c r="C187" t="str">
        <f>CONCATENATE(A187, " ",B187)</f>
        <v>Josh Green</v>
      </c>
      <c r="D187" t="s">
        <v>28</v>
      </c>
      <c r="E187" s="2">
        <v>45084</v>
      </c>
      <c r="F187" s="3">
        <f t="shared" si="8"/>
        <v>6</v>
      </c>
      <c r="G187" s="3">
        <f t="shared" si="11"/>
        <v>7</v>
      </c>
      <c r="H187" s="2" t="str">
        <f t="shared" si="9"/>
        <v>6' 7"</v>
      </c>
      <c r="I187">
        <v>200</v>
      </c>
      <c r="J187" s="1">
        <v>36846</v>
      </c>
      <c r="K187" t="s">
        <v>296</v>
      </c>
      <c r="L187" t="s">
        <v>79</v>
      </c>
      <c r="M187">
        <v>2020</v>
      </c>
      <c r="N187" t="str">
        <f t="shared" si="10"/>
        <v>Drafted</v>
      </c>
      <c r="O187">
        <v>1</v>
      </c>
      <c r="P187">
        <v>18</v>
      </c>
    </row>
    <row r="188" spans="1:16" x14ac:dyDescent="0.35">
      <c r="A188" t="s">
        <v>462</v>
      </c>
      <c r="B188" t="s">
        <v>471</v>
      </c>
      <c r="C188" t="str">
        <f>CONCATENATE(A188, " ",B188)</f>
        <v>AJ Griffin</v>
      </c>
      <c r="D188" t="s">
        <v>13</v>
      </c>
      <c r="E188" s="2">
        <v>45083</v>
      </c>
      <c r="F188" s="3">
        <f t="shared" si="8"/>
        <v>6</v>
      </c>
      <c r="G188" s="3">
        <f t="shared" si="11"/>
        <v>6</v>
      </c>
      <c r="H188" s="2" t="str">
        <f t="shared" si="9"/>
        <v>6' 6"</v>
      </c>
      <c r="I188">
        <v>220</v>
      </c>
      <c r="J188" s="1">
        <v>37858</v>
      </c>
      <c r="K188" t="s">
        <v>24</v>
      </c>
      <c r="L188" t="s">
        <v>41</v>
      </c>
      <c r="M188">
        <v>2022</v>
      </c>
      <c r="N188" t="str">
        <f t="shared" si="10"/>
        <v>Drafted</v>
      </c>
      <c r="O188">
        <v>1</v>
      </c>
      <c r="P188">
        <v>16</v>
      </c>
    </row>
    <row r="189" spans="1:16" x14ac:dyDescent="0.35">
      <c r="A189" t="s">
        <v>472</v>
      </c>
      <c r="B189" t="s">
        <v>471</v>
      </c>
      <c r="C189" t="str">
        <f>CONCATENATE(A189, " ",B189)</f>
        <v>Blake Griffin</v>
      </c>
      <c r="D189" t="s">
        <v>13</v>
      </c>
      <c r="E189" s="2">
        <v>45086</v>
      </c>
      <c r="F189" s="3">
        <f t="shared" si="8"/>
        <v>6</v>
      </c>
      <c r="G189" s="3">
        <f t="shared" si="11"/>
        <v>9</v>
      </c>
      <c r="H189" s="2" t="str">
        <f t="shared" si="9"/>
        <v>6' 9"</v>
      </c>
      <c r="I189">
        <v>250</v>
      </c>
      <c r="J189" s="1">
        <v>32583</v>
      </c>
      <c r="K189" t="s">
        <v>24</v>
      </c>
      <c r="L189" t="s">
        <v>473</v>
      </c>
      <c r="M189">
        <v>2009</v>
      </c>
      <c r="N189" t="str">
        <f t="shared" si="10"/>
        <v>Drafted</v>
      </c>
      <c r="O189">
        <v>1</v>
      </c>
      <c r="P189">
        <v>1</v>
      </c>
    </row>
    <row r="190" spans="1:16" x14ac:dyDescent="0.35">
      <c r="A190" t="s">
        <v>474</v>
      </c>
      <c r="B190" t="s">
        <v>475</v>
      </c>
      <c r="C190" t="str">
        <f>CONCATENATE(A190, " ",B190)</f>
        <v>Quentin Grimes</v>
      </c>
      <c r="D190" t="s">
        <v>28</v>
      </c>
      <c r="E190" s="2">
        <v>45082</v>
      </c>
      <c r="F190" s="3">
        <f t="shared" si="8"/>
        <v>6</v>
      </c>
      <c r="G190" s="3">
        <f t="shared" si="11"/>
        <v>5</v>
      </c>
      <c r="H190" s="2" t="str">
        <f t="shared" si="9"/>
        <v>6' 5"</v>
      </c>
      <c r="I190">
        <v>210</v>
      </c>
      <c r="J190" s="1">
        <v>36654</v>
      </c>
      <c r="K190" t="s">
        <v>24</v>
      </c>
      <c r="L190" t="s">
        <v>476</v>
      </c>
      <c r="M190">
        <v>2021</v>
      </c>
      <c r="N190" t="str">
        <f t="shared" si="10"/>
        <v>Drafted</v>
      </c>
      <c r="O190">
        <v>1</v>
      </c>
      <c r="P190">
        <v>25</v>
      </c>
    </row>
    <row r="191" spans="1:16" x14ac:dyDescent="0.35">
      <c r="A191" t="s">
        <v>477</v>
      </c>
      <c r="B191" t="s">
        <v>478</v>
      </c>
      <c r="C191" t="str">
        <f>CONCATENATE(A191, " ",B191)</f>
        <v>Rui Hachimura</v>
      </c>
      <c r="D191" t="s">
        <v>13</v>
      </c>
      <c r="E191" s="2">
        <v>45085</v>
      </c>
      <c r="F191" s="3">
        <f t="shared" si="8"/>
        <v>6</v>
      </c>
      <c r="G191" s="3">
        <f t="shared" si="11"/>
        <v>8</v>
      </c>
      <c r="H191" s="2" t="str">
        <f t="shared" si="9"/>
        <v>6' 8"</v>
      </c>
      <c r="I191">
        <v>230</v>
      </c>
      <c r="J191" s="1">
        <v>35834</v>
      </c>
      <c r="K191" t="s">
        <v>479</v>
      </c>
      <c r="L191" t="s">
        <v>275</v>
      </c>
      <c r="M191">
        <v>2019</v>
      </c>
      <c r="N191" t="str">
        <f t="shared" si="10"/>
        <v>Drafted</v>
      </c>
      <c r="O191">
        <v>1</v>
      </c>
      <c r="P191">
        <v>9</v>
      </c>
    </row>
    <row r="192" spans="1:16" x14ac:dyDescent="0.35">
      <c r="A192" t="s">
        <v>480</v>
      </c>
      <c r="B192" t="s">
        <v>481</v>
      </c>
      <c r="C192" t="str">
        <f>CONCATENATE(A192, " ",B192)</f>
        <v>Tyrese Haliburton</v>
      </c>
      <c r="D192" t="s">
        <v>28</v>
      </c>
      <c r="E192" s="2">
        <v>45082</v>
      </c>
      <c r="F192" s="3">
        <f t="shared" si="8"/>
        <v>6</v>
      </c>
      <c r="G192" s="3">
        <f t="shared" si="11"/>
        <v>5</v>
      </c>
      <c r="H192" s="2" t="str">
        <f t="shared" si="9"/>
        <v>6' 5"</v>
      </c>
      <c r="I192">
        <v>185</v>
      </c>
      <c r="J192" s="1">
        <v>36585</v>
      </c>
      <c r="K192" t="s">
        <v>24</v>
      </c>
      <c r="L192" t="s">
        <v>225</v>
      </c>
      <c r="M192">
        <v>2020</v>
      </c>
      <c r="N192" t="str">
        <f t="shared" si="10"/>
        <v>Drafted</v>
      </c>
      <c r="O192">
        <v>1</v>
      </c>
      <c r="P192">
        <v>12</v>
      </c>
    </row>
    <row r="193" spans="1:16" x14ac:dyDescent="0.35">
      <c r="A193" t="s">
        <v>276</v>
      </c>
      <c r="B193" t="s">
        <v>482</v>
      </c>
      <c r="C193" t="str">
        <f>CONCATENATE(A193, " ",B193)</f>
        <v>Jordan Hall</v>
      </c>
      <c r="D193" t="s">
        <v>28</v>
      </c>
      <c r="E193" s="2">
        <v>45084</v>
      </c>
      <c r="F193" s="3">
        <f t="shared" si="8"/>
        <v>6</v>
      </c>
      <c r="G193" s="3">
        <f t="shared" si="11"/>
        <v>7</v>
      </c>
      <c r="H193" s="2" t="str">
        <f t="shared" si="9"/>
        <v>6' 7"</v>
      </c>
      <c r="I193">
        <v>215</v>
      </c>
      <c r="J193" s="1">
        <v>37270</v>
      </c>
      <c r="K193" t="s">
        <v>24</v>
      </c>
      <c r="L193" t="s">
        <v>483</v>
      </c>
      <c r="M193">
        <v>2022</v>
      </c>
      <c r="N193" t="str">
        <f t="shared" si="10"/>
        <v>Undrafted</v>
      </c>
    </row>
    <row r="194" spans="1:16" x14ac:dyDescent="0.35">
      <c r="A194" t="s">
        <v>484</v>
      </c>
      <c r="B194" t="s">
        <v>485</v>
      </c>
      <c r="C194" t="str">
        <f>CONCATENATE(A194, " ",B194)</f>
        <v>R.J. Hampton</v>
      </c>
      <c r="D194" t="s">
        <v>28</v>
      </c>
      <c r="E194" s="2">
        <v>45081</v>
      </c>
      <c r="F194" s="3">
        <f t="shared" si="8"/>
        <v>6</v>
      </c>
      <c r="G194" s="3">
        <f t="shared" si="11"/>
        <v>4</v>
      </c>
      <c r="H194" s="2" t="str">
        <f t="shared" si="9"/>
        <v>6' 4"</v>
      </c>
      <c r="I194">
        <v>175</v>
      </c>
      <c r="J194" s="1">
        <v>36929</v>
      </c>
      <c r="K194" t="s">
        <v>24</v>
      </c>
      <c r="M194">
        <v>2020</v>
      </c>
      <c r="N194" t="str">
        <f t="shared" si="10"/>
        <v>Drafted</v>
      </c>
      <c r="O194">
        <v>1</v>
      </c>
      <c r="P194">
        <v>24</v>
      </c>
    </row>
    <row r="195" spans="1:16" x14ac:dyDescent="0.35">
      <c r="A195" t="s">
        <v>486</v>
      </c>
      <c r="B195" t="s">
        <v>487</v>
      </c>
      <c r="C195" t="str">
        <f>CONCATENATE(A195, " ",B195)</f>
        <v>Tim Hardaway Jr.</v>
      </c>
      <c r="D195" t="s">
        <v>122</v>
      </c>
      <c r="E195" s="2">
        <v>45082</v>
      </c>
      <c r="F195" s="3">
        <f t="shared" ref="F195:F258" si="12">MONTH(E195)</f>
        <v>6</v>
      </c>
      <c r="G195" s="3">
        <f t="shared" si="11"/>
        <v>5</v>
      </c>
      <c r="H195" s="2" t="str">
        <f t="shared" ref="H195:H258" si="13">CONCATENATE(F195,"' ",G195,"""")</f>
        <v>6' 5"</v>
      </c>
      <c r="I195">
        <v>205</v>
      </c>
      <c r="J195" s="1">
        <v>33679</v>
      </c>
      <c r="K195" t="s">
        <v>24</v>
      </c>
      <c r="L195" t="s">
        <v>337</v>
      </c>
      <c r="M195">
        <v>2013</v>
      </c>
      <c r="N195" t="str">
        <f t="shared" ref="N195:N258" si="14">IF(O195 &gt; 0,"Drafted","Undrafted")</f>
        <v>Drafted</v>
      </c>
      <c r="O195">
        <v>1</v>
      </c>
      <c r="P195">
        <v>24</v>
      </c>
    </row>
    <row r="196" spans="1:16" x14ac:dyDescent="0.35">
      <c r="A196" t="s">
        <v>177</v>
      </c>
      <c r="B196" t="s">
        <v>488</v>
      </c>
      <c r="C196" t="str">
        <f>CONCATENATE(A196, " ",B196)</f>
        <v>James Harden</v>
      </c>
      <c r="D196" t="s">
        <v>28</v>
      </c>
      <c r="E196" s="2">
        <v>45082</v>
      </c>
      <c r="F196" s="3">
        <f t="shared" si="12"/>
        <v>6</v>
      </c>
      <c r="G196" s="3">
        <f t="shared" ref="G196:G259" si="15">DAY(E196)</f>
        <v>5</v>
      </c>
      <c r="H196" s="2" t="str">
        <f t="shared" si="13"/>
        <v>6' 5"</v>
      </c>
      <c r="I196">
        <v>220</v>
      </c>
      <c r="J196" s="1">
        <v>32746</v>
      </c>
      <c r="K196" t="s">
        <v>24</v>
      </c>
      <c r="L196" t="s">
        <v>273</v>
      </c>
      <c r="M196">
        <v>2009</v>
      </c>
      <c r="N196" t="str">
        <f t="shared" si="14"/>
        <v>Drafted</v>
      </c>
      <c r="O196">
        <v>1</v>
      </c>
      <c r="P196">
        <v>3</v>
      </c>
    </row>
    <row r="197" spans="1:16" x14ac:dyDescent="0.35">
      <c r="A197" t="s">
        <v>489</v>
      </c>
      <c r="B197" t="s">
        <v>490</v>
      </c>
      <c r="C197" t="str">
        <f>CONCATENATE(A197, " ",B197)</f>
        <v>Jaden Hardy</v>
      </c>
      <c r="D197" t="s">
        <v>28</v>
      </c>
      <c r="E197" s="2">
        <v>45080</v>
      </c>
      <c r="F197" s="3">
        <f t="shared" si="12"/>
        <v>6</v>
      </c>
      <c r="G197" s="3">
        <f t="shared" si="15"/>
        <v>3</v>
      </c>
      <c r="H197" s="2" t="str">
        <f t="shared" si="13"/>
        <v>6' 3"</v>
      </c>
      <c r="I197">
        <v>198</v>
      </c>
      <c r="J197" s="1">
        <v>37442</v>
      </c>
      <c r="K197" t="s">
        <v>24</v>
      </c>
      <c r="L197" t="s">
        <v>135</v>
      </c>
      <c r="M197">
        <v>2022</v>
      </c>
      <c r="N197" t="str">
        <f t="shared" si="14"/>
        <v>Drafted</v>
      </c>
      <c r="O197">
        <v>2</v>
      </c>
      <c r="P197">
        <v>37</v>
      </c>
    </row>
    <row r="198" spans="1:16" x14ac:dyDescent="0.35">
      <c r="A198" t="s">
        <v>491</v>
      </c>
      <c r="B198" t="s">
        <v>492</v>
      </c>
      <c r="C198" t="str">
        <f>CONCATENATE(A198, " ",B198)</f>
        <v>Ron Harper Jr.</v>
      </c>
      <c r="D198" t="s">
        <v>13</v>
      </c>
      <c r="E198" s="2">
        <v>45082</v>
      </c>
      <c r="F198" s="3">
        <f t="shared" si="12"/>
        <v>6</v>
      </c>
      <c r="G198" s="3">
        <f t="shared" si="15"/>
        <v>5</v>
      </c>
      <c r="H198" s="2" t="str">
        <f t="shared" si="13"/>
        <v>6' 5"</v>
      </c>
      <c r="I198">
        <v>245</v>
      </c>
      <c r="J198" s="1">
        <v>36628</v>
      </c>
      <c r="K198" t="s">
        <v>24</v>
      </c>
      <c r="L198" t="s">
        <v>493</v>
      </c>
      <c r="M198">
        <v>2022</v>
      </c>
      <c r="N198" t="str">
        <f t="shared" si="14"/>
        <v>Undrafted</v>
      </c>
    </row>
    <row r="199" spans="1:16" x14ac:dyDescent="0.35">
      <c r="A199" t="s">
        <v>494</v>
      </c>
      <c r="B199" t="s">
        <v>495</v>
      </c>
      <c r="C199" t="str">
        <f>CONCATENATE(A199, " ",B199)</f>
        <v>Montrezl Harrell</v>
      </c>
      <c r="D199" t="s">
        <v>32</v>
      </c>
      <c r="E199" s="2">
        <v>45084</v>
      </c>
      <c r="F199" s="3">
        <f t="shared" si="12"/>
        <v>6</v>
      </c>
      <c r="G199" s="3">
        <f t="shared" si="15"/>
        <v>7</v>
      </c>
      <c r="H199" s="2" t="str">
        <f t="shared" si="13"/>
        <v>6' 7"</v>
      </c>
      <c r="I199">
        <v>240</v>
      </c>
      <c r="J199" s="1">
        <v>34360</v>
      </c>
      <c r="K199" t="s">
        <v>24</v>
      </c>
      <c r="L199" t="s">
        <v>345</v>
      </c>
      <c r="M199">
        <v>2015</v>
      </c>
      <c r="N199" t="str">
        <f t="shared" si="14"/>
        <v>Drafted</v>
      </c>
      <c r="O199">
        <v>2</v>
      </c>
      <c r="P199">
        <v>32</v>
      </c>
    </row>
    <row r="200" spans="1:16" x14ac:dyDescent="0.35">
      <c r="A200" t="s">
        <v>496</v>
      </c>
      <c r="B200" t="s">
        <v>497</v>
      </c>
      <c r="C200" t="str">
        <f>CONCATENATE(A200, " ",B200)</f>
        <v>Gary Harris</v>
      </c>
      <c r="D200" t="s">
        <v>28</v>
      </c>
      <c r="E200" s="2">
        <v>45081</v>
      </c>
      <c r="F200" s="3">
        <f t="shared" si="12"/>
        <v>6</v>
      </c>
      <c r="G200" s="3">
        <f t="shared" si="15"/>
        <v>4</v>
      </c>
      <c r="H200" s="2" t="str">
        <f t="shared" si="13"/>
        <v>6' 4"</v>
      </c>
      <c r="I200">
        <v>210</v>
      </c>
      <c r="J200" s="1">
        <v>34591</v>
      </c>
      <c r="K200" t="s">
        <v>24</v>
      </c>
      <c r="L200" t="s">
        <v>270</v>
      </c>
      <c r="M200">
        <v>2014</v>
      </c>
      <c r="N200" t="str">
        <f t="shared" si="14"/>
        <v>Drafted</v>
      </c>
      <c r="O200">
        <v>1</v>
      </c>
      <c r="P200">
        <v>19</v>
      </c>
    </row>
    <row r="201" spans="1:16" x14ac:dyDescent="0.35">
      <c r="A201" t="s">
        <v>498</v>
      </c>
      <c r="B201" t="s">
        <v>497</v>
      </c>
      <c r="C201" t="str">
        <f>CONCATENATE(A201, " ",B201)</f>
        <v>Joe Harris</v>
      </c>
      <c r="D201" t="s">
        <v>122</v>
      </c>
      <c r="E201" s="2">
        <v>45083</v>
      </c>
      <c r="F201" s="3">
        <f t="shared" si="12"/>
        <v>6</v>
      </c>
      <c r="G201" s="3">
        <f t="shared" si="15"/>
        <v>6</v>
      </c>
      <c r="H201" s="2" t="str">
        <f t="shared" si="13"/>
        <v>6' 6"</v>
      </c>
      <c r="I201">
        <v>220</v>
      </c>
      <c r="J201" s="1">
        <v>33487</v>
      </c>
      <c r="K201" t="s">
        <v>24</v>
      </c>
      <c r="L201" t="s">
        <v>197</v>
      </c>
      <c r="M201">
        <v>2014</v>
      </c>
      <c r="N201" t="str">
        <f t="shared" si="14"/>
        <v>Drafted</v>
      </c>
      <c r="O201">
        <v>2</v>
      </c>
      <c r="P201">
        <v>33</v>
      </c>
    </row>
    <row r="202" spans="1:16" x14ac:dyDescent="0.35">
      <c r="A202" t="s">
        <v>499</v>
      </c>
      <c r="B202" t="s">
        <v>497</v>
      </c>
      <c r="C202" t="str">
        <f>CONCATENATE(A202, " ",B202)</f>
        <v>Kevon Harris</v>
      </c>
      <c r="D202" t="s">
        <v>28</v>
      </c>
      <c r="E202" s="2">
        <v>45083</v>
      </c>
      <c r="F202" s="3">
        <f t="shared" si="12"/>
        <v>6</v>
      </c>
      <c r="G202" s="3">
        <f t="shared" si="15"/>
        <v>6</v>
      </c>
      <c r="H202" s="2" t="str">
        <f t="shared" si="13"/>
        <v>6' 6"</v>
      </c>
      <c r="I202">
        <v>216</v>
      </c>
      <c r="J202" s="1">
        <v>35605</v>
      </c>
      <c r="K202" t="s">
        <v>24</v>
      </c>
      <c r="L202" t="s">
        <v>500</v>
      </c>
      <c r="M202">
        <v>2022</v>
      </c>
      <c r="N202" t="str">
        <f t="shared" si="14"/>
        <v>Undrafted</v>
      </c>
    </row>
    <row r="203" spans="1:16" x14ac:dyDescent="0.35">
      <c r="A203" t="s">
        <v>501</v>
      </c>
      <c r="B203" t="s">
        <v>497</v>
      </c>
      <c r="C203" t="str">
        <f>CONCATENATE(A203, " ",B203)</f>
        <v>Tobias Harris</v>
      </c>
      <c r="D203" t="s">
        <v>13</v>
      </c>
      <c r="E203" s="2">
        <v>45084</v>
      </c>
      <c r="F203" s="3">
        <f t="shared" si="12"/>
        <v>6</v>
      </c>
      <c r="G203" s="3">
        <f t="shared" si="15"/>
        <v>7</v>
      </c>
      <c r="H203" s="2" t="str">
        <f t="shared" si="13"/>
        <v>6' 7"</v>
      </c>
      <c r="I203">
        <v>226</v>
      </c>
      <c r="J203" s="1">
        <v>33800</v>
      </c>
      <c r="K203" t="s">
        <v>24</v>
      </c>
      <c r="L203" t="s">
        <v>267</v>
      </c>
      <c r="M203">
        <v>2011</v>
      </c>
      <c r="N203" t="str">
        <f t="shared" si="14"/>
        <v>Drafted</v>
      </c>
      <c r="O203">
        <v>1</v>
      </c>
      <c r="P203">
        <v>19</v>
      </c>
    </row>
    <row r="204" spans="1:16" x14ac:dyDescent="0.35">
      <c r="A204" t="s">
        <v>502</v>
      </c>
      <c r="B204" t="s">
        <v>106</v>
      </c>
      <c r="C204" t="str">
        <f>CONCATENATE(A204, " ",B204)</f>
        <v>Shaquille Harrison</v>
      </c>
      <c r="D204" t="s">
        <v>28</v>
      </c>
      <c r="E204" s="2">
        <v>45081</v>
      </c>
      <c r="F204" s="3">
        <f t="shared" si="12"/>
        <v>6</v>
      </c>
      <c r="G204" s="3">
        <f t="shared" si="15"/>
        <v>4</v>
      </c>
      <c r="H204" s="2" t="str">
        <f t="shared" si="13"/>
        <v>6' 4"</v>
      </c>
      <c r="I204">
        <v>195</v>
      </c>
      <c r="J204" s="1">
        <v>34248</v>
      </c>
      <c r="K204" t="s">
        <v>24</v>
      </c>
      <c r="L204" t="s">
        <v>503</v>
      </c>
      <c r="M204">
        <v>2017</v>
      </c>
      <c r="N204" t="str">
        <f t="shared" si="14"/>
        <v>Undrafted</v>
      </c>
    </row>
    <row r="205" spans="1:16" x14ac:dyDescent="0.35">
      <c r="A205" t="s">
        <v>271</v>
      </c>
      <c r="B205" t="s">
        <v>504</v>
      </c>
      <c r="C205" t="str">
        <f>CONCATENATE(A205, " ",B205)</f>
        <v>Josh Hart</v>
      </c>
      <c r="D205" t="s">
        <v>28</v>
      </c>
      <c r="E205" s="2">
        <v>45081</v>
      </c>
      <c r="F205" s="3">
        <f t="shared" si="12"/>
        <v>6</v>
      </c>
      <c r="G205" s="3">
        <f t="shared" si="15"/>
        <v>4</v>
      </c>
      <c r="H205" s="2" t="str">
        <f t="shared" si="13"/>
        <v>6' 4"</v>
      </c>
      <c r="I205">
        <v>215</v>
      </c>
      <c r="J205" s="1">
        <v>34764</v>
      </c>
      <c r="K205" t="s">
        <v>24</v>
      </c>
      <c r="L205" t="s">
        <v>68</v>
      </c>
      <c r="M205">
        <v>2017</v>
      </c>
      <c r="N205" t="str">
        <f t="shared" si="14"/>
        <v>Drafted</v>
      </c>
      <c r="O205">
        <v>1</v>
      </c>
      <c r="P205">
        <v>30</v>
      </c>
    </row>
    <row r="206" spans="1:16" x14ac:dyDescent="0.35">
      <c r="A206" t="s">
        <v>505</v>
      </c>
      <c r="B206" t="s">
        <v>506</v>
      </c>
      <c r="C206" t="str">
        <f>CONCATENATE(A206, " ",B206)</f>
        <v>Isaiah Hartenstein</v>
      </c>
      <c r="D206" t="s">
        <v>23</v>
      </c>
      <c r="E206" s="2">
        <v>36708</v>
      </c>
      <c r="F206" s="3">
        <f t="shared" si="12"/>
        <v>7</v>
      </c>
      <c r="G206" s="3">
        <f t="shared" si="15"/>
        <v>1</v>
      </c>
      <c r="H206" s="2" t="str">
        <f t="shared" si="13"/>
        <v>7' 1"</v>
      </c>
      <c r="I206">
        <v>250</v>
      </c>
      <c r="J206" s="1">
        <v>35920</v>
      </c>
      <c r="K206" t="s">
        <v>507</v>
      </c>
      <c r="L206" t="s">
        <v>508</v>
      </c>
      <c r="M206">
        <v>2017</v>
      </c>
      <c r="N206" t="str">
        <f t="shared" si="14"/>
        <v>Drafted</v>
      </c>
      <c r="O206">
        <v>2</v>
      </c>
      <c r="P206">
        <v>43</v>
      </c>
    </row>
    <row r="207" spans="1:16" x14ac:dyDescent="0.35">
      <c r="A207" t="s">
        <v>509</v>
      </c>
      <c r="B207" t="s">
        <v>510</v>
      </c>
      <c r="C207" t="str">
        <f>CONCATENATE(A207, " ",B207)</f>
        <v>Udonis Haslem</v>
      </c>
      <c r="D207" t="s">
        <v>13</v>
      </c>
      <c r="E207" s="2">
        <v>45084</v>
      </c>
      <c r="F207" s="3">
        <f t="shared" si="12"/>
        <v>6</v>
      </c>
      <c r="G207" s="3">
        <f t="shared" si="15"/>
        <v>7</v>
      </c>
      <c r="H207" s="2" t="str">
        <f t="shared" si="13"/>
        <v>6' 7"</v>
      </c>
      <c r="I207">
        <v>235</v>
      </c>
      <c r="J207" s="1">
        <v>29381</v>
      </c>
      <c r="K207" t="s">
        <v>24</v>
      </c>
      <c r="L207" t="s">
        <v>130</v>
      </c>
      <c r="M207">
        <v>2003</v>
      </c>
      <c r="N207" t="str">
        <f t="shared" si="14"/>
        <v>Undrafted</v>
      </c>
    </row>
    <row r="208" spans="1:16" x14ac:dyDescent="0.35">
      <c r="A208" t="s">
        <v>511</v>
      </c>
      <c r="B208" t="s">
        <v>512</v>
      </c>
      <c r="C208" t="str">
        <f>CONCATENATE(A208, " ",B208)</f>
        <v>Sam Hauser</v>
      </c>
      <c r="D208" t="s">
        <v>13</v>
      </c>
      <c r="E208" s="2">
        <v>45084</v>
      </c>
      <c r="F208" s="3">
        <f t="shared" si="12"/>
        <v>6</v>
      </c>
      <c r="G208" s="3">
        <f t="shared" si="15"/>
        <v>7</v>
      </c>
      <c r="H208" s="2" t="str">
        <f t="shared" si="13"/>
        <v>6' 7"</v>
      </c>
      <c r="I208">
        <v>217</v>
      </c>
      <c r="J208" s="1">
        <v>35772</v>
      </c>
      <c r="K208" t="s">
        <v>24</v>
      </c>
      <c r="L208" t="s">
        <v>197</v>
      </c>
      <c r="M208">
        <v>2021</v>
      </c>
      <c r="N208" t="str">
        <f t="shared" si="14"/>
        <v>Undrafted</v>
      </c>
    </row>
    <row r="209" spans="1:16" x14ac:dyDescent="0.35">
      <c r="A209" t="s">
        <v>513</v>
      </c>
      <c r="B209" t="s">
        <v>514</v>
      </c>
      <c r="C209" t="str">
        <f>CONCATENATE(A209, " ",B209)</f>
        <v>Jaxson Hayes</v>
      </c>
      <c r="D209" t="s">
        <v>23</v>
      </c>
      <c r="E209" s="2">
        <v>36708</v>
      </c>
      <c r="F209" s="3">
        <f t="shared" si="12"/>
        <v>7</v>
      </c>
      <c r="G209" s="3">
        <f t="shared" si="15"/>
        <v>1</v>
      </c>
      <c r="H209" s="2" t="str">
        <f t="shared" si="13"/>
        <v>7' 1"</v>
      </c>
      <c r="I209">
        <v>220</v>
      </c>
      <c r="J209" s="1">
        <v>36669</v>
      </c>
      <c r="K209" t="s">
        <v>24</v>
      </c>
      <c r="L209" t="s">
        <v>43</v>
      </c>
      <c r="M209">
        <v>2019</v>
      </c>
      <c r="N209" t="str">
        <f t="shared" si="14"/>
        <v>Drafted</v>
      </c>
      <c r="O209">
        <v>1</v>
      </c>
      <c r="P209">
        <v>8</v>
      </c>
    </row>
    <row r="210" spans="1:16" x14ac:dyDescent="0.35">
      <c r="A210" t="s">
        <v>515</v>
      </c>
      <c r="B210" t="s">
        <v>514</v>
      </c>
      <c r="C210" t="str">
        <f>CONCATENATE(A210, " ",B210)</f>
        <v>Killian Hayes</v>
      </c>
      <c r="D210" t="s">
        <v>28</v>
      </c>
      <c r="E210" s="2">
        <v>45082</v>
      </c>
      <c r="F210" s="3">
        <f t="shared" si="12"/>
        <v>6</v>
      </c>
      <c r="G210" s="3">
        <f t="shared" si="15"/>
        <v>5</v>
      </c>
      <c r="H210" s="2" t="str">
        <f t="shared" si="13"/>
        <v>6' 5"</v>
      </c>
      <c r="I210">
        <v>195</v>
      </c>
      <c r="J210" s="1">
        <v>37099</v>
      </c>
      <c r="K210" t="s">
        <v>123</v>
      </c>
      <c r="L210" t="s">
        <v>516</v>
      </c>
      <c r="M210">
        <v>2020</v>
      </c>
      <c r="N210" t="str">
        <f t="shared" si="14"/>
        <v>Drafted</v>
      </c>
      <c r="O210">
        <v>1</v>
      </c>
      <c r="P210">
        <v>7</v>
      </c>
    </row>
    <row r="211" spans="1:16" x14ac:dyDescent="0.35">
      <c r="A211" t="s">
        <v>454</v>
      </c>
      <c r="B211" t="s">
        <v>517</v>
      </c>
      <c r="C211" t="str">
        <f>CONCATENATE(A211, " ",B211)</f>
        <v>Gordon Hayward</v>
      </c>
      <c r="D211" t="s">
        <v>13</v>
      </c>
      <c r="E211" s="2">
        <v>45084</v>
      </c>
      <c r="F211" s="3">
        <f t="shared" si="12"/>
        <v>6</v>
      </c>
      <c r="G211" s="3">
        <f t="shared" si="15"/>
        <v>7</v>
      </c>
      <c r="H211" s="2" t="str">
        <f t="shared" si="13"/>
        <v>6' 7"</v>
      </c>
      <c r="I211">
        <v>225</v>
      </c>
      <c r="J211" s="1">
        <v>32955</v>
      </c>
      <c r="K211" t="s">
        <v>24</v>
      </c>
      <c r="L211" t="s">
        <v>227</v>
      </c>
      <c r="M211">
        <v>2010</v>
      </c>
      <c r="N211" t="str">
        <f t="shared" si="14"/>
        <v>Drafted</v>
      </c>
      <c r="O211">
        <v>1</v>
      </c>
      <c r="P211">
        <v>9</v>
      </c>
    </row>
    <row r="212" spans="1:16" x14ac:dyDescent="0.35">
      <c r="A212" t="s">
        <v>518</v>
      </c>
      <c r="B212" t="s">
        <v>519</v>
      </c>
      <c r="C212" t="str">
        <f>CONCATENATE(A212, " ",B212)</f>
        <v>Juancho Hernangomez</v>
      </c>
      <c r="D212" t="s">
        <v>13</v>
      </c>
      <c r="E212" s="2">
        <v>45086</v>
      </c>
      <c r="F212" s="3">
        <f t="shared" si="12"/>
        <v>6</v>
      </c>
      <c r="G212" s="3">
        <f t="shared" si="15"/>
        <v>9</v>
      </c>
      <c r="H212" s="2" t="str">
        <f t="shared" si="13"/>
        <v>6' 9"</v>
      </c>
      <c r="I212">
        <v>214</v>
      </c>
      <c r="J212" s="1">
        <v>34970</v>
      </c>
      <c r="K212" t="s">
        <v>33</v>
      </c>
      <c r="M212">
        <v>2016</v>
      </c>
      <c r="N212" t="str">
        <f t="shared" si="14"/>
        <v>Drafted</v>
      </c>
      <c r="O212">
        <v>1</v>
      </c>
      <c r="P212">
        <v>15</v>
      </c>
    </row>
    <row r="213" spans="1:16" x14ac:dyDescent="0.35">
      <c r="A213" t="s">
        <v>520</v>
      </c>
      <c r="B213" t="s">
        <v>519</v>
      </c>
      <c r="C213" t="str">
        <f>CONCATENATE(A213, " ",B213)</f>
        <v>Willy Hernangomez</v>
      </c>
      <c r="D213" t="s">
        <v>23</v>
      </c>
      <c r="E213" s="2">
        <v>45088</v>
      </c>
      <c r="F213" s="3">
        <f t="shared" si="12"/>
        <v>6</v>
      </c>
      <c r="G213" s="3">
        <f t="shared" si="15"/>
        <v>11</v>
      </c>
      <c r="H213" s="2" t="str">
        <f t="shared" si="13"/>
        <v>6' 11"</v>
      </c>
      <c r="I213">
        <v>250</v>
      </c>
      <c r="J213" s="1">
        <v>34481</v>
      </c>
      <c r="K213" t="s">
        <v>33</v>
      </c>
      <c r="L213" t="s">
        <v>521</v>
      </c>
      <c r="M213">
        <v>2015</v>
      </c>
      <c r="N213" t="str">
        <f t="shared" si="14"/>
        <v>Drafted</v>
      </c>
      <c r="O213">
        <v>2</v>
      </c>
      <c r="P213">
        <v>35</v>
      </c>
    </row>
    <row r="214" spans="1:16" x14ac:dyDescent="0.35">
      <c r="A214" t="s">
        <v>353</v>
      </c>
      <c r="B214" t="s">
        <v>522</v>
      </c>
      <c r="C214" t="str">
        <f>CONCATENATE(A214, " ",B214)</f>
        <v>Tyler Herro</v>
      </c>
      <c r="D214" t="s">
        <v>28</v>
      </c>
      <c r="E214" s="2">
        <v>45082</v>
      </c>
      <c r="F214" s="3">
        <f t="shared" si="12"/>
        <v>6</v>
      </c>
      <c r="G214" s="3">
        <f t="shared" si="15"/>
        <v>5</v>
      </c>
      <c r="H214" s="2" t="str">
        <f t="shared" si="13"/>
        <v>6' 5"</v>
      </c>
      <c r="I214">
        <v>195</v>
      </c>
      <c r="J214" s="1">
        <v>36545</v>
      </c>
      <c r="K214" t="s">
        <v>24</v>
      </c>
      <c r="L214" t="s">
        <v>25</v>
      </c>
      <c r="M214">
        <v>2019</v>
      </c>
      <c r="N214" t="str">
        <f t="shared" si="14"/>
        <v>Drafted</v>
      </c>
      <c r="O214">
        <v>1</v>
      </c>
      <c r="P214">
        <v>13</v>
      </c>
    </row>
    <row r="215" spans="1:16" x14ac:dyDescent="0.35">
      <c r="A215" t="s">
        <v>155</v>
      </c>
      <c r="B215" t="s">
        <v>523</v>
      </c>
      <c r="C215" t="str">
        <f>CONCATENATE(A215, " ",B215)</f>
        <v>Buddy Hield</v>
      </c>
      <c r="D215" t="s">
        <v>28</v>
      </c>
      <c r="E215" s="2">
        <v>45081</v>
      </c>
      <c r="F215" s="3">
        <f t="shared" si="12"/>
        <v>6</v>
      </c>
      <c r="G215" s="3">
        <f t="shared" si="15"/>
        <v>4</v>
      </c>
      <c r="H215" s="2" t="str">
        <f t="shared" si="13"/>
        <v>6' 4"</v>
      </c>
      <c r="I215">
        <v>220</v>
      </c>
      <c r="J215" s="1">
        <v>33955</v>
      </c>
      <c r="K215" t="s">
        <v>78</v>
      </c>
      <c r="L215" t="s">
        <v>473</v>
      </c>
      <c r="M215">
        <v>2016</v>
      </c>
      <c r="N215" t="str">
        <f t="shared" si="14"/>
        <v>Drafted</v>
      </c>
      <c r="O215">
        <v>1</v>
      </c>
      <c r="P215">
        <v>6</v>
      </c>
    </row>
    <row r="216" spans="1:16" x14ac:dyDescent="0.35">
      <c r="A216" t="s">
        <v>524</v>
      </c>
      <c r="B216" t="s">
        <v>525</v>
      </c>
      <c r="C216" t="str">
        <f>CONCATENATE(A216, " ",B216)</f>
        <v>Haywood Highsmith</v>
      </c>
      <c r="D216" t="s">
        <v>13</v>
      </c>
      <c r="E216" s="2">
        <v>45082</v>
      </c>
      <c r="F216" s="3">
        <f t="shared" si="12"/>
        <v>6</v>
      </c>
      <c r="G216" s="3">
        <f t="shared" si="15"/>
        <v>5</v>
      </c>
      <c r="H216" s="2" t="str">
        <f t="shared" si="13"/>
        <v>6' 5"</v>
      </c>
      <c r="I216">
        <v>220</v>
      </c>
      <c r="J216" s="1">
        <v>35408</v>
      </c>
      <c r="K216" t="s">
        <v>24</v>
      </c>
      <c r="L216" t="s">
        <v>526</v>
      </c>
      <c r="M216">
        <v>2018</v>
      </c>
      <c r="N216" t="str">
        <f t="shared" si="14"/>
        <v>Undrafted</v>
      </c>
    </row>
    <row r="217" spans="1:16" x14ac:dyDescent="0.35">
      <c r="A217" t="s">
        <v>437</v>
      </c>
      <c r="B217" t="s">
        <v>527</v>
      </c>
      <c r="C217" t="str">
        <f>CONCATENATE(A217, " ",B217)</f>
        <v>George Hill</v>
      </c>
      <c r="D217" t="s">
        <v>28</v>
      </c>
      <c r="E217" s="2">
        <v>45081</v>
      </c>
      <c r="F217" s="3">
        <f t="shared" si="12"/>
        <v>6</v>
      </c>
      <c r="G217" s="3">
        <f t="shared" si="15"/>
        <v>4</v>
      </c>
      <c r="H217" s="2" t="str">
        <f t="shared" si="13"/>
        <v>6' 4"</v>
      </c>
      <c r="I217">
        <v>188</v>
      </c>
      <c r="J217" s="1">
        <v>31536</v>
      </c>
      <c r="K217" t="s">
        <v>24</v>
      </c>
      <c r="L217" t="s">
        <v>528</v>
      </c>
      <c r="M217">
        <v>2008</v>
      </c>
      <c r="N217" t="str">
        <f t="shared" si="14"/>
        <v>Drafted</v>
      </c>
      <c r="O217">
        <v>1</v>
      </c>
      <c r="P217">
        <v>26</v>
      </c>
    </row>
    <row r="218" spans="1:16" x14ac:dyDescent="0.35">
      <c r="A218" t="s">
        <v>195</v>
      </c>
      <c r="B218" t="s">
        <v>527</v>
      </c>
      <c r="C218" t="str">
        <f>CONCATENATE(A218, " ",B218)</f>
        <v>Malcolm Hill</v>
      </c>
      <c r="D218" t="s">
        <v>13</v>
      </c>
      <c r="E218" s="2">
        <v>45083</v>
      </c>
      <c r="F218" s="3">
        <f t="shared" si="12"/>
        <v>6</v>
      </c>
      <c r="G218" s="3">
        <f t="shared" si="15"/>
        <v>6</v>
      </c>
      <c r="H218" s="2" t="str">
        <f t="shared" si="13"/>
        <v>6' 6"</v>
      </c>
      <c r="I218">
        <v>220</v>
      </c>
      <c r="J218" s="1">
        <v>34998</v>
      </c>
      <c r="K218" t="s">
        <v>24</v>
      </c>
      <c r="L218" t="s">
        <v>359</v>
      </c>
      <c r="M218">
        <v>2021</v>
      </c>
      <c r="N218" t="str">
        <f t="shared" si="14"/>
        <v>Undrafted</v>
      </c>
    </row>
    <row r="219" spans="1:16" x14ac:dyDescent="0.35">
      <c r="A219" t="s">
        <v>453</v>
      </c>
      <c r="B219" t="s">
        <v>529</v>
      </c>
      <c r="C219" t="str">
        <f>CONCATENATE(A219, " ",B219)</f>
        <v>Aaron Holiday</v>
      </c>
      <c r="D219" t="s">
        <v>28</v>
      </c>
      <c r="E219" s="2">
        <v>36678</v>
      </c>
      <c r="F219" s="3">
        <f t="shared" si="12"/>
        <v>6</v>
      </c>
      <c r="G219" s="3">
        <f t="shared" si="15"/>
        <v>1</v>
      </c>
      <c r="H219" s="2" t="str">
        <f t="shared" si="13"/>
        <v>6' 1"</v>
      </c>
      <c r="I219">
        <v>185</v>
      </c>
      <c r="J219" s="1">
        <v>35338</v>
      </c>
      <c r="K219" t="s">
        <v>24</v>
      </c>
      <c r="L219" t="s">
        <v>50</v>
      </c>
      <c r="M219">
        <v>2018</v>
      </c>
      <c r="N219" t="str">
        <f t="shared" si="14"/>
        <v>Drafted</v>
      </c>
      <c r="O219">
        <v>1</v>
      </c>
      <c r="P219">
        <v>23</v>
      </c>
    </row>
    <row r="220" spans="1:16" x14ac:dyDescent="0.35">
      <c r="A220" t="s">
        <v>530</v>
      </c>
      <c r="B220" t="s">
        <v>529</v>
      </c>
      <c r="C220" t="str">
        <f>CONCATENATE(A220, " ",B220)</f>
        <v>Jrue Holiday</v>
      </c>
      <c r="D220" t="s">
        <v>28</v>
      </c>
      <c r="E220" s="2">
        <v>45082</v>
      </c>
      <c r="F220" s="3">
        <f t="shared" si="12"/>
        <v>6</v>
      </c>
      <c r="G220" s="3">
        <f t="shared" si="15"/>
        <v>5</v>
      </c>
      <c r="H220" s="2" t="str">
        <f t="shared" si="13"/>
        <v>6' 5"</v>
      </c>
      <c r="I220">
        <v>205</v>
      </c>
      <c r="J220" s="1">
        <v>33036</v>
      </c>
      <c r="K220" t="s">
        <v>24</v>
      </c>
      <c r="L220" t="s">
        <v>50</v>
      </c>
      <c r="M220">
        <v>2009</v>
      </c>
      <c r="N220" t="str">
        <f t="shared" si="14"/>
        <v>Drafted</v>
      </c>
      <c r="O220">
        <v>1</v>
      </c>
      <c r="P220">
        <v>17</v>
      </c>
    </row>
    <row r="221" spans="1:16" x14ac:dyDescent="0.35">
      <c r="A221" t="s">
        <v>264</v>
      </c>
      <c r="B221" t="s">
        <v>529</v>
      </c>
      <c r="C221" t="str">
        <f>CONCATENATE(A221, " ",B221)</f>
        <v>Justin Holiday</v>
      </c>
      <c r="D221" t="s">
        <v>49</v>
      </c>
      <c r="E221" s="2">
        <v>45083</v>
      </c>
      <c r="F221" s="3">
        <f t="shared" si="12"/>
        <v>6</v>
      </c>
      <c r="G221" s="3">
        <f t="shared" si="15"/>
        <v>6</v>
      </c>
      <c r="H221" s="2" t="str">
        <f t="shared" si="13"/>
        <v>6' 6"</v>
      </c>
      <c r="I221">
        <v>180</v>
      </c>
      <c r="J221" s="1">
        <v>32603</v>
      </c>
      <c r="K221" t="s">
        <v>24</v>
      </c>
      <c r="L221" t="s">
        <v>422</v>
      </c>
      <c r="M221">
        <v>2012</v>
      </c>
      <c r="N221" t="str">
        <f t="shared" si="14"/>
        <v>Undrafted</v>
      </c>
    </row>
    <row r="222" spans="1:16" x14ac:dyDescent="0.35">
      <c r="A222" t="s">
        <v>531</v>
      </c>
      <c r="B222" t="s">
        <v>532</v>
      </c>
      <c r="C222" t="str">
        <f>CONCATENATE(A222, " ",B222)</f>
        <v>Richaun Holmes</v>
      </c>
      <c r="D222" t="s">
        <v>13</v>
      </c>
      <c r="E222" s="2">
        <v>45085</v>
      </c>
      <c r="F222" s="3">
        <f t="shared" si="12"/>
        <v>6</v>
      </c>
      <c r="G222" s="3">
        <f t="shared" si="15"/>
        <v>8</v>
      </c>
      <c r="H222" s="2" t="str">
        <f t="shared" si="13"/>
        <v>6' 8"</v>
      </c>
      <c r="I222">
        <v>235</v>
      </c>
      <c r="J222" s="1">
        <v>34257</v>
      </c>
      <c r="K222" t="s">
        <v>24</v>
      </c>
      <c r="L222" t="s">
        <v>533</v>
      </c>
      <c r="M222">
        <v>2015</v>
      </c>
      <c r="N222" t="str">
        <f t="shared" si="14"/>
        <v>Drafted</v>
      </c>
      <c r="O222">
        <v>2</v>
      </c>
      <c r="P222">
        <v>37</v>
      </c>
    </row>
    <row r="223" spans="1:16" x14ac:dyDescent="0.35">
      <c r="A223" t="s">
        <v>534</v>
      </c>
      <c r="B223" t="s">
        <v>535</v>
      </c>
      <c r="C223" t="str">
        <f>CONCATENATE(A223, " ",B223)</f>
        <v>Al Horford</v>
      </c>
      <c r="D223" t="s">
        <v>23</v>
      </c>
      <c r="E223" s="2">
        <v>45086</v>
      </c>
      <c r="F223" s="3">
        <f t="shared" si="12"/>
        <v>6</v>
      </c>
      <c r="G223" s="3">
        <f t="shared" si="15"/>
        <v>9</v>
      </c>
      <c r="H223" s="2" t="str">
        <f t="shared" si="13"/>
        <v>6' 9"</v>
      </c>
      <c r="I223">
        <v>240</v>
      </c>
      <c r="J223" s="1">
        <v>31566</v>
      </c>
      <c r="K223" t="s">
        <v>374</v>
      </c>
      <c r="L223" t="s">
        <v>130</v>
      </c>
      <c r="M223">
        <v>2007</v>
      </c>
      <c r="N223" t="str">
        <f t="shared" si="14"/>
        <v>Drafted</v>
      </c>
      <c r="O223">
        <v>1</v>
      </c>
      <c r="P223">
        <v>3</v>
      </c>
    </row>
    <row r="224" spans="1:16" x14ac:dyDescent="0.35">
      <c r="A224" t="s">
        <v>536</v>
      </c>
      <c r="B224" t="s">
        <v>537</v>
      </c>
      <c r="C224" t="str">
        <f>CONCATENATE(A224, " ",B224)</f>
        <v>Talen Horton-Tucker</v>
      </c>
      <c r="D224" t="s">
        <v>28</v>
      </c>
      <c r="E224" s="2">
        <v>45081</v>
      </c>
      <c r="F224" s="3">
        <f t="shared" si="12"/>
        <v>6</v>
      </c>
      <c r="G224" s="3">
        <f t="shared" si="15"/>
        <v>4</v>
      </c>
      <c r="H224" s="2" t="str">
        <f t="shared" si="13"/>
        <v>6' 4"</v>
      </c>
      <c r="I224">
        <v>234</v>
      </c>
      <c r="J224" s="1">
        <v>36855</v>
      </c>
      <c r="K224" t="s">
        <v>24</v>
      </c>
      <c r="L224" t="s">
        <v>225</v>
      </c>
      <c r="M224">
        <v>2019</v>
      </c>
      <c r="N224" t="str">
        <f t="shared" si="14"/>
        <v>Drafted</v>
      </c>
      <c r="O224">
        <v>2</v>
      </c>
      <c r="P224">
        <v>46</v>
      </c>
    </row>
    <row r="225" spans="1:16" x14ac:dyDescent="0.35">
      <c r="A225" t="s">
        <v>538</v>
      </c>
      <c r="B225" t="s">
        <v>539</v>
      </c>
      <c r="C225" t="str">
        <f>CONCATENATE(A225, " ",B225)</f>
        <v>Danuel House Jr.</v>
      </c>
      <c r="D225" t="s">
        <v>49</v>
      </c>
      <c r="E225" s="2">
        <v>45083</v>
      </c>
      <c r="F225" s="3">
        <f t="shared" si="12"/>
        <v>6</v>
      </c>
      <c r="G225" s="3">
        <f t="shared" si="15"/>
        <v>6</v>
      </c>
      <c r="H225" s="2" t="str">
        <f t="shared" si="13"/>
        <v>6' 6"</v>
      </c>
      <c r="I225">
        <v>220</v>
      </c>
      <c r="J225" s="1">
        <v>34127</v>
      </c>
      <c r="K225" t="s">
        <v>24</v>
      </c>
      <c r="L225" t="s">
        <v>258</v>
      </c>
      <c r="M225">
        <v>2016</v>
      </c>
      <c r="N225" t="str">
        <f t="shared" si="14"/>
        <v>Undrafted</v>
      </c>
    </row>
    <row r="226" spans="1:16" x14ac:dyDescent="0.35">
      <c r="A226" t="s">
        <v>540</v>
      </c>
      <c r="B226" t="s">
        <v>541</v>
      </c>
      <c r="C226" t="str">
        <f>CONCATENATE(A226, " ",B226)</f>
        <v>Caleb Houstan</v>
      </c>
      <c r="D226" t="s">
        <v>28</v>
      </c>
      <c r="E226" s="2">
        <v>45085</v>
      </c>
      <c r="F226" s="3">
        <f t="shared" si="12"/>
        <v>6</v>
      </c>
      <c r="G226" s="3">
        <f t="shared" si="15"/>
        <v>8</v>
      </c>
      <c r="H226" s="2" t="str">
        <f t="shared" si="13"/>
        <v>6' 8"</v>
      </c>
      <c r="I226">
        <v>205</v>
      </c>
      <c r="J226" s="1">
        <v>37630</v>
      </c>
      <c r="K226" t="s">
        <v>37</v>
      </c>
      <c r="L226" t="s">
        <v>337</v>
      </c>
      <c r="M226">
        <v>2022</v>
      </c>
      <c r="N226" t="str">
        <f t="shared" si="14"/>
        <v>Drafted</v>
      </c>
      <c r="O226">
        <v>2</v>
      </c>
      <c r="P226">
        <v>32</v>
      </c>
    </row>
    <row r="227" spans="1:16" x14ac:dyDescent="0.35">
      <c r="A227" t="s">
        <v>542</v>
      </c>
      <c r="B227" t="s">
        <v>543</v>
      </c>
      <c r="C227" t="str">
        <f>CONCATENATE(A227, " ",B227)</f>
        <v>Trevor Hudgins</v>
      </c>
      <c r="D227" t="s">
        <v>28</v>
      </c>
      <c r="E227" s="2">
        <v>36678</v>
      </c>
      <c r="F227" s="3">
        <f t="shared" si="12"/>
        <v>6</v>
      </c>
      <c r="G227" s="3">
        <f t="shared" si="15"/>
        <v>1</v>
      </c>
      <c r="H227" s="2" t="str">
        <f t="shared" si="13"/>
        <v>6' 1"</v>
      </c>
      <c r="I227">
        <v>180</v>
      </c>
      <c r="J227" s="1">
        <v>36242</v>
      </c>
      <c r="K227" t="s">
        <v>24</v>
      </c>
      <c r="L227" t="s">
        <v>544</v>
      </c>
      <c r="M227">
        <v>2022</v>
      </c>
      <c r="N227" t="str">
        <f t="shared" si="14"/>
        <v>Undrafted</v>
      </c>
    </row>
    <row r="228" spans="1:16" x14ac:dyDescent="0.35">
      <c r="A228" t="s">
        <v>380</v>
      </c>
      <c r="B228" t="s">
        <v>545</v>
      </c>
      <c r="C228" t="str">
        <f>CONCATENATE(A228, " ",B228)</f>
        <v>Kevin Huerter</v>
      </c>
      <c r="D228" t="s">
        <v>122</v>
      </c>
      <c r="E228" s="2">
        <v>45084</v>
      </c>
      <c r="F228" s="3">
        <f t="shared" si="12"/>
        <v>6</v>
      </c>
      <c r="G228" s="3">
        <f t="shared" si="15"/>
        <v>7</v>
      </c>
      <c r="H228" s="2" t="str">
        <f t="shared" si="13"/>
        <v>6' 7"</v>
      </c>
      <c r="I228">
        <v>198</v>
      </c>
      <c r="J228" s="1">
        <v>36034</v>
      </c>
      <c r="K228" t="s">
        <v>24</v>
      </c>
      <c r="L228" t="s">
        <v>401</v>
      </c>
      <c r="M228">
        <v>2018</v>
      </c>
      <c r="N228" t="str">
        <f t="shared" si="14"/>
        <v>Drafted</v>
      </c>
      <c r="O228">
        <v>1</v>
      </c>
      <c r="P228">
        <v>19</v>
      </c>
    </row>
    <row r="229" spans="1:16" x14ac:dyDescent="0.35">
      <c r="A229" t="s">
        <v>546</v>
      </c>
      <c r="B229" t="s">
        <v>547</v>
      </c>
      <c r="C229" t="str">
        <f>CONCATENATE(A229, " ",B229)</f>
        <v>Jay Huff</v>
      </c>
      <c r="D229" t="s">
        <v>18</v>
      </c>
      <c r="E229" s="2">
        <v>45108</v>
      </c>
      <c r="F229" s="3">
        <f t="shared" si="12"/>
        <v>7</v>
      </c>
      <c r="G229" s="3">
        <f t="shared" si="15"/>
        <v>1</v>
      </c>
      <c r="H229" s="2" t="str">
        <f t="shared" si="13"/>
        <v>7' 1"</v>
      </c>
      <c r="I229">
        <v>240</v>
      </c>
      <c r="J229" s="1">
        <v>35667</v>
      </c>
      <c r="K229" t="s">
        <v>24</v>
      </c>
      <c r="L229" t="s">
        <v>197</v>
      </c>
      <c r="M229">
        <v>2021</v>
      </c>
      <c r="N229" t="str">
        <f t="shared" si="14"/>
        <v>Undrafted</v>
      </c>
    </row>
    <row r="230" spans="1:16" x14ac:dyDescent="0.35">
      <c r="A230" t="s">
        <v>548</v>
      </c>
      <c r="B230" t="s">
        <v>549</v>
      </c>
      <c r="C230" t="str">
        <f>CONCATENATE(A230, " ",B230)</f>
        <v>Feron Hunt</v>
      </c>
      <c r="D230" t="s">
        <v>13</v>
      </c>
      <c r="E230" s="2">
        <v>45085</v>
      </c>
      <c r="F230" s="3">
        <f t="shared" si="12"/>
        <v>6</v>
      </c>
      <c r="G230" s="3">
        <f t="shared" si="15"/>
        <v>8</v>
      </c>
      <c r="H230" s="2" t="str">
        <f t="shared" si="13"/>
        <v>6' 8"</v>
      </c>
      <c r="I230">
        <v>195</v>
      </c>
      <c r="J230" s="1">
        <v>36346</v>
      </c>
      <c r="K230" t="s">
        <v>24</v>
      </c>
      <c r="L230" t="s">
        <v>209</v>
      </c>
      <c r="M230">
        <v>2021</v>
      </c>
      <c r="N230" t="str">
        <f t="shared" si="14"/>
        <v>Undrafted</v>
      </c>
    </row>
    <row r="231" spans="1:16" x14ac:dyDescent="0.35">
      <c r="A231" t="s">
        <v>550</v>
      </c>
      <c r="B231" t="s">
        <v>551</v>
      </c>
      <c r="C231" t="str">
        <f>CONCATENATE(A231, " ",B231)</f>
        <v>De'Andre Hunter</v>
      </c>
      <c r="D231" t="s">
        <v>49</v>
      </c>
      <c r="E231" s="2">
        <v>45085</v>
      </c>
      <c r="F231" s="3">
        <f t="shared" si="12"/>
        <v>6</v>
      </c>
      <c r="G231" s="3">
        <f t="shared" si="15"/>
        <v>8</v>
      </c>
      <c r="H231" s="2" t="str">
        <f t="shared" si="13"/>
        <v>6' 8"</v>
      </c>
      <c r="I231">
        <v>221</v>
      </c>
      <c r="J231" s="1">
        <v>35766</v>
      </c>
      <c r="K231" t="s">
        <v>24</v>
      </c>
      <c r="L231" t="s">
        <v>197</v>
      </c>
      <c r="M231">
        <v>2019</v>
      </c>
      <c r="N231" t="str">
        <f t="shared" si="14"/>
        <v>Drafted</v>
      </c>
      <c r="O231">
        <v>1</v>
      </c>
      <c r="P231">
        <v>4</v>
      </c>
    </row>
    <row r="232" spans="1:16" x14ac:dyDescent="0.35">
      <c r="A232" t="s">
        <v>552</v>
      </c>
      <c r="B232" t="s">
        <v>553</v>
      </c>
      <c r="C232" t="str">
        <f>CONCATENATE(A232, " ",B232)</f>
        <v>Bones Hyland</v>
      </c>
      <c r="D232" t="s">
        <v>28</v>
      </c>
      <c r="E232" s="2">
        <v>45079</v>
      </c>
      <c r="F232" s="3">
        <f t="shared" si="12"/>
        <v>6</v>
      </c>
      <c r="G232" s="3">
        <f t="shared" si="15"/>
        <v>2</v>
      </c>
      <c r="H232" s="2" t="str">
        <f t="shared" si="13"/>
        <v>6' 2"</v>
      </c>
      <c r="I232">
        <v>169</v>
      </c>
      <c r="J232" s="1">
        <v>36783</v>
      </c>
      <c r="K232" t="s">
        <v>24</v>
      </c>
      <c r="L232" t="s">
        <v>554</v>
      </c>
      <c r="M232">
        <v>2021</v>
      </c>
      <c r="N232" t="str">
        <f t="shared" si="14"/>
        <v>Drafted</v>
      </c>
      <c r="O232">
        <v>1</v>
      </c>
      <c r="P232">
        <v>26</v>
      </c>
    </row>
    <row r="233" spans="1:16" x14ac:dyDescent="0.35">
      <c r="A233" t="s">
        <v>555</v>
      </c>
      <c r="B233" t="s">
        <v>556</v>
      </c>
      <c r="C233" t="str">
        <f>CONCATENATE(A233, " ",B233)</f>
        <v>Serge Ibaka</v>
      </c>
      <c r="D233" t="s">
        <v>13</v>
      </c>
      <c r="E233" s="2">
        <v>45088</v>
      </c>
      <c r="F233" s="3">
        <f t="shared" si="12"/>
        <v>6</v>
      </c>
      <c r="G233" s="3">
        <f t="shared" si="15"/>
        <v>11</v>
      </c>
      <c r="H233" s="2" t="str">
        <f t="shared" si="13"/>
        <v>6' 11"</v>
      </c>
      <c r="I233">
        <v>235</v>
      </c>
      <c r="J233" s="1">
        <v>32769</v>
      </c>
      <c r="K233" t="s">
        <v>557</v>
      </c>
      <c r="M233">
        <v>2008</v>
      </c>
      <c r="N233" t="str">
        <f t="shared" si="14"/>
        <v>Drafted</v>
      </c>
      <c r="O233">
        <v>1</v>
      </c>
      <c r="P233">
        <v>24</v>
      </c>
    </row>
    <row r="234" spans="1:16" x14ac:dyDescent="0.35">
      <c r="A234" t="s">
        <v>371</v>
      </c>
      <c r="B234" t="s">
        <v>558</v>
      </c>
      <c r="C234" t="str">
        <f>CONCATENATE(A234, " ",B234)</f>
        <v>Andre Iguodala</v>
      </c>
      <c r="D234" t="s">
        <v>122</v>
      </c>
      <c r="E234" s="2">
        <v>45083</v>
      </c>
      <c r="F234" s="3">
        <f t="shared" si="12"/>
        <v>6</v>
      </c>
      <c r="G234" s="3">
        <f t="shared" si="15"/>
        <v>6</v>
      </c>
      <c r="H234" s="2" t="str">
        <f t="shared" si="13"/>
        <v>6' 6"</v>
      </c>
      <c r="I234">
        <v>215</v>
      </c>
      <c r="J234" s="1">
        <v>30709</v>
      </c>
      <c r="K234" t="s">
        <v>24</v>
      </c>
      <c r="L234" t="s">
        <v>79</v>
      </c>
      <c r="M234">
        <v>2004</v>
      </c>
      <c r="N234" t="str">
        <f t="shared" si="14"/>
        <v>Drafted</v>
      </c>
      <c r="O234">
        <v>1</v>
      </c>
      <c r="P234">
        <v>9</v>
      </c>
    </row>
    <row r="235" spans="1:16" x14ac:dyDescent="0.35">
      <c r="A235" t="s">
        <v>498</v>
      </c>
      <c r="B235" t="s">
        <v>559</v>
      </c>
      <c r="C235" t="str">
        <f>CONCATENATE(A235, " ",B235)</f>
        <v>Joe Ingles</v>
      </c>
      <c r="D235" t="s">
        <v>49</v>
      </c>
      <c r="E235" s="2">
        <v>45086</v>
      </c>
      <c r="F235" s="3">
        <f t="shared" si="12"/>
        <v>6</v>
      </c>
      <c r="G235" s="3">
        <f t="shared" si="15"/>
        <v>9</v>
      </c>
      <c r="H235" s="2" t="str">
        <f t="shared" si="13"/>
        <v>6' 9"</v>
      </c>
      <c r="I235">
        <v>220</v>
      </c>
      <c r="J235" s="1">
        <v>32052</v>
      </c>
      <c r="K235" t="s">
        <v>296</v>
      </c>
      <c r="L235" t="s">
        <v>75</v>
      </c>
      <c r="M235">
        <v>2014</v>
      </c>
      <c r="N235" t="str">
        <f t="shared" si="14"/>
        <v>Undrafted</v>
      </c>
    </row>
    <row r="236" spans="1:16" x14ac:dyDescent="0.35">
      <c r="A236" t="s">
        <v>172</v>
      </c>
      <c r="B236" t="s">
        <v>560</v>
      </c>
      <c r="C236" t="str">
        <f>CONCATENATE(A236, " ",B236)</f>
        <v>Brandon Ingram</v>
      </c>
      <c r="D236" t="s">
        <v>13</v>
      </c>
      <c r="E236" s="2">
        <v>45085</v>
      </c>
      <c r="F236" s="3">
        <f t="shared" si="12"/>
        <v>6</v>
      </c>
      <c r="G236" s="3">
        <f t="shared" si="15"/>
        <v>8</v>
      </c>
      <c r="H236" s="2" t="str">
        <f t="shared" si="13"/>
        <v>6' 8"</v>
      </c>
      <c r="I236">
        <v>190</v>
      </c>
      <c r="J236" s="1">
        <v>35675</v>
      </c>
      <c r="K236" t="s">
        <v>24</v>
      </c>
      <c r="L236" t="s">
        <v>41</v>
      </c>
      <c r="M236">
        <v>2016</v>
      </c>
      <c r="N236" t="str">
        <f t="shared" si="14"/>
        <v>Drafted</v>
      </c>
      <c r="O236">
        <v>1</v>
      </c>
      <c r="P236">
        <v>2</v>
      </c>
    </row>
    <row r="237" spans="1:16" x14ac:dyDescent="0.35">
      <c r="A237" t="s">
        <v>561</v>
      </c>
      <c r="B237" t="s">
        <v>562</v>
      </c>
      <c r="C237" t="str">
        <f>CONCATENATE(A237, " ",B237)</f>
        <v>Kyrie Irving</v>
      </c>
      <c r="D237" t="s">
        <v>28</v>
      </c>
      <c r="E237" s="2">
        <v>45079</v>
      </c>
      <c r="F237" s="3">
        <f t="shared" si="12"/>
        <v>6</v>
      </c>
      <c r="G237" s="3">
        <f t="shared" si="15"/>
        <v>2</v>
      </c>
      <c r="H237" s="2" t="str">
        <f t="shared" si="13"/>
        <v>6' 2"</v>
      </c>
      <c r="I237">
        <v>195</v>
      </c>
      <c r="J237" s="1">
        <v>33686</v>
      </c>
      <c r="K237" t="s">
        <v>296</v>
      </c>
      <c r="L237" t="s">
        <v>41</v>
      </c>
      <c r="M237">
        <v>2011</v>
      </c>
      <c r="N237" t="str">
        <f t="shared" si="14"/>
        <v>Drafted</v>
      </c>
      <c r="O237">
        <v>1</v>
      </c>
      <c r="P237">
        <v>1</v>
      </c>
    </row>
    <row r="238" spans="1:16" x14ac:dyDescent="0.35">
      <c r="A238" t="s">
        <v>563</v>
      </c>
      <c r="B238" t="s">
        <v>564</v>
      </c>
      <c r="C238" t="str">
        <f>CONCATENATE(A238, " ",B238)</f>
        <v>Jonathan Isaac</v>
      </c>
      <c r="D238" t="s">
        <v>13</v>
      </c>
      <c r="E238" s="2">
        <v>45087</v>
      </c>
      <c r="F238" s="3">
        <f t="shared" si="12"/>
        <v>6</v>
      </c>
      <c r="G238" s="3">
        <f t="shared" si="15"/>
        <v>10</v>
      </c>
      <c r="H238" s="2" t="str">
        <f t="shared" si="13"/>
        <v>6' 10"</v>
      </c>
      <c r="I238">
        <v>230</v>
      </c>
      <c r="J238" s="1">
        <v>35706</v>
      </c>
      <c r="K238" t="s">
        <v>24</v>
      </c>
      <c r="L238" t="s">
        <v>109</v>
      </c>
      <c r="M238">
        <v>2017</v>
      </c>
      <c r="N238" t="str">
        <f t="shared" si="14"/>
        <v>Drafted</v>
      </c>
      <c r="O238">
        <v>1</v>
      </c>
      <c r="P238">
        <v>6</v>
      </c>
    </row>
    <row r="239" spans="1:16" x14ac:dyDescent="0.35">
      <c r="A239" t="s">
        <v>489</v>
      </c>
      <c r="B239" t="s">
        <v>565</v>
      </c>
      <c r="C239" t="str">
        <f>CONCATENATE(A239, " ",B239)</f>
        <v>Jaden Ivey</v>
      </c>
      <c r="D239" t="s">
        <v>28</v>
      </c>
      <c r="E239" s="2">
        <v>45081</v>
      </c>
      <c r="F239" s="3">
        <f t="shared" si="12"/>
        <v>6</v>
      </c>
      <c r="G239" s="3">
        <f t="shared" si="15"/>
        <v>4</v>
      </c>
      <c r="H239" s="2" t="str">
        <f t="shared" si="13"/>
        <v>6' 4"</v>
      </c>
      <c r="I239">
        <v>195</v>
      </c>
      <c r="J239" s="1">
        <v>37300</v>
      </c>
      <c r="K239" t="s">
        <v>24</v>
      </c>
      <c r="L239" t="s">
        <v>566</v>
      </c>
      <c r="M239">
        <v>2022</v>
      </c>
      <c r="N239" t="str">
        <f t="shared" si="14"/>
        <v>Drafted</v>
      </c>
      <c r="O239">
        <v>1</v>
      </c>
      <c r="P239">
        <v>5</v>
      </c>
    </row>
    <row r="240" spans="1:16" x14ac:dyDescent="0.35">
      <c r="A240" t="s">
        <v>567</v>
      </c>
      <c r="B240" t="s">
        <v>568</v>
      </c>
      <c r="C240" t="str">
        <f>CONCATENATE(A240, " ",B240)</f>
        <v>Frank Jackson</v>
      </c>
      <c r="D240" t="s">
        <v>28</v>
      </c>
      <c r="E240" s="2">
        <v>45080</v>
      </c>
      <c r="F240" s="3">
        <f t="shared" si="12"/>
        <v>6</v>
      </c>
      <c r="G240" s="3">
        <f t="shared" si="15"/>
        <v>3</v>
      </c>
      <c r="H240" s="2" t="str">
        <f t="shared" si="13"/>
        <v>6' 3"</v>
      </c>
      <c r="I240">
        <v>205</v>
      </c>
      <c r="J240" s="1">
        <v>35919</v>
      </c>
      <c r="K240" t="s">
        <v>24</v>
      </c>
      <c r="L240" t="s">
        <v>41</v>
      </c>
      <c r="M240">
        <v>2017</v>
      </c>
      <c r="N240" t="str">
        <f t="shared" si="14"/>
        <v>Drafted</v>
      </c>
      <c r="O240">
        <v>2</v>
      </c>
      <c r="P240">
        <v>31</v>
      </c>
    </row>
    <row r="241" spans="1:16" x14ac:dyDescent="0.35">
      <c r="A241" t="s">
        <v>505</v>
      </c>
      <c r="B241" t="s">
        <v>568</v>
      </c>
      <c r="C241" t="str">
        <f>CONCATENATE(A241, " ",B241)</f>
        <v>Isaiah Jackson</v>
      </c>
      <c r="D241" t="s">
        <v>13</v>
      </c>
      <c r="E241" s="2">
        <v>45086</v>
      </c>
      <c r="F241" s="3">
        <f t="shared" si="12"/>
        <v>6</v>
      </c>
      <c r="G241" s="3">
        <f t="shared" si="15"/>
        <v>9</v>
      </c>
      <c r="H241" s="2" t="str">
        <f t="shared" si="13"/>
        <v>6' 9"</v>
      </c>
      <c r="I241">
        <v>205</v>
      </c>
      <c r="J241" s="1">
        <v>37266</v>
      </c>
      <c r="K241" t="s">
        <v>24</v>
      </c>
      <c r="L241" t="s">
        <v>25</v>
      </c>
      <c r="M241">
        <v>2021</v>
      </c>
      <c r="N241" t="str">
        <f t="shared" si="14"/>
        <v>Drafted</v>
      </c>
      <c r="O241">
        <v>1</v>
      </c>
      <c r="P241">
        <v>22</v>
      </c>
    </row>
    <row r="242" spans="1:16" x14ac:dyDescent="0.35">
      <c r="A242" t="s">
        <v>264</v>
      </c>
      <c r="B242" t="s">
        <v>568</v>
      </c>
      <c r="C242" t="str">
        <f>CONCATENATE(A242, " ",B242)</f>
        <v>Justin Jackson</v>
      </c>
      <c r="D242" t="s">
        <v>13</v>
      </c>
      <c r="E242" s="2">
        <v>45085</v>
      </c>
      <c r="F242" s="3">
        <f t="shared" si="12"/>
        <v>6</v>
      </c>
      <c r="G242" s="3">
        <f t="shared" si="15"/>
        <v>8</v>
      </c>
      <c r="H242" s="2" t="str">
        <f t="shared" si="13"/>
        <v>6' 8"</v>
      </c>
      <c r="I242">
        <v>220</v>
      </c>
      <c r="J242" s="1">
        <v>34786</v>
      </c>
      <c r="K242" t="s">
        <v>24</v>
      </c>
      <c r="L242" t="s">
        <v>61</v>
      </c>
      <c r="M242">
        <v>2017</v>
      </c>
      <c r="N242" t="str">
        <f t="shared" si="14"/>
        <v>Drafted</v>
      </c>
      <c r="O242">
        <v>1</v>
      </c>
      <c r="P242">
        <v>15</v>
      </c>
    </row>
    <row r="243" spans="1:16" x14ac:dyDescent="0.35">
      <c r="A243" t="s">
        <v>569</v>
      </c>
      <c r="B243" t="s">
        <v>568</v>
      </c>
      <c r="C243" t="str">
        <f>CONCATENATE(A243, " ",B243)</f>
        <v>Quenton Jackson</v>
      </c>
      <c r="D243" t="s">
        <v>28</v>
      </c>
      <c r="E243" s="2">
        <v>45082</v>
      </c>
      <c r="F243" s="3">
        <f t="shared" si="12"/>
        <v>6</v>
      </c>
      <c r="G243" s="3">
        <f t="shared" si="15"/>
        <v>5</v>
      </c>
      <c r="H243" s="2" t="str">
        <f t="shared" si="13"/>
        <v>6' 5"</v>
      </c>
      <c r="I243">
        <v>173</v>
      </c>
      <c r="J243" s="1">
        <v>36053</v>
      </c>
      <c r="K243" t="s">
        <v>24</v>
      </c>
      <c r="L243" t="s">
        <v>258</v>
      </c>
      <c r="M243">
        <v>2022</v>
      </c>
      <c r="N243" t="str">
        <f t="shared" si="14"/>
        <v>Undrafted</v>
      </c>
    </row>
    <row r="244" spans="1:16" x14ac:dyDescent="0.35">
      <c r="A244" t="s">
        <v>218</v>
      </c>
      <c r="B244" t="s">
        <v>568</v>
      </c>
      <c r="C244" t="str">
        <f>CONCATENATE(A244, " ",B244)</f>
        <v>Reggie Jackson</v>
      </c>
      <c r="D244" t="s">
        <v>28</v>
      </c>
      <c r="E244" s="2">
        <v>45079</v>
      </c>
      <c r="F244" s="3">
        <f t="shared" si="12"/>
        <v>6</v>
      </c>
      <c r="G244" s="3">
        <f t="shared" si="15"/>
        <v>2</v>
      </c>
      <c r="H244" s="2" t="str">
        <f t="shared" si="13"/>
        <v>6' 2"</v>
      </c>
      <c r="I244">
        <v>208</v>
      </c>
      <c r="J244" s="1">
        <v>32979</v>
      </c>
      <c r="K244" t="s">
        <v>24</v>
      </c>
      <c r="L244" t="s">
        <v>570</v>
      </c>
      <c r="M244">
        <v>2011</v>
      </c>
      <c r="N244" t="str">
        <f t="shared" si="14"/>
        <v>Drafted</v>
      </c>
      <c r="O244">
        <v>1</v>
      </c>
      <c r="P244">
        <v>24</v>
      </c>
    </row>
    <row r="245" spans="1:16" x14ac:dyDescent="0.35">
      <c r="A245" t="s">
        <v>571</v>
      </c>
      <c r="B245" t="s">
        <v>572</v>
      </c>
      <c r="C245" t="str">
        <f>CONCATENATE(A245, " ",B245)</f>
        <v>Jaren Jackson Jr.</v>
      </c>
      <c r="D245" t="s">
        <v>32</v>
      </c>
      <c r="E245" s="2">
        <v>45087</v>
      </c>
      <c r="F245" s="3">
        <f t="shared" si="12"/>
        <v>6</v>
      </c>
      <c r="G245" s="3">
        <f t="shared" si="15"/>
        <v>10</v>
      </c>
      <c r="H245" s="2" t="str">
        <f t="shared" si="13"/>
        <v>6' 10"</v>
      </c>
      <c r="I245">
        <v>242</v>
      </c>
      <c r="J245" s="1">
        <v>36418</v>
      </c>
      <c r="K245" t="s">
        <v>24</v>
      </c>
      <c r="L245" t="s">
        <v>270</v>
      </c>
      <c r="M245">
        <v>2018</v>
      </c>
      <c r="N245" t="str">
        <f t="shared" si="14"/>
        <v>Drafted</v>
      </c>
      <c r="O245">
        <v>1</v>
      </c>
      <c r="P245">
        <v>4</v>
      </c>
    </row>
    <row r="246" spans="1:16" x14ac:dyDescent="0.35">
      <c r="A246" t="s">
        <v>573</v>
      </c>
      <c r="B246" t="s">
        <v>177</v>
      </c>
      <c r="C246" t="str">
        <f>CONCATENATE(A246, " ",B246)</f>
        <v>LeBron James</v>
      </c>
      <c r="D246" t="s">
        <v>13</v>
      </c>
      <c r="E246" s="2">
        <v>45086</v>
      </c>
      <c r="F246" s="3">
        <f t="shared" si="12"/>
        <v>6</v>
      </c>
      <c r="G246" s="3">
        <f t="shared" si="15"/>
        <v>9</v>
      </c>
      <c r="H246" s="2" t="str">
        <f t="shared" si="13"/>
        <v>6' 9"</v>
      </c>
      <c r="I246">
        <v>250</v>
      </c>
      <c r="J246" s="1">
        <v>31046</v>
      </c>
      <c r="K246" t="s">
        <v>24</v>
      </c>
      <c r="L246" t="s">
        <v>574</v>
      </c>
      <c r="M246">
        <v>2003</v>
      </c>
      <c r="N246" t="str">
        <f t="shared" si="14"/>
        <v>Drafted</v>
      </c>
      <c r="O246">
        <v>1</v>
      </c>
      <c r="P246">
        <v>1</v>
      </c>
    </row>
    <row r="247" spans="1:16" x14ac:dyDescent="0.35">
      <c r="A247" t="s">
        <v>575</v>
      </c>
      <c r="B247" t="s">
        <v>576</v>
      </c>
      <c r="C247" t="str">
        <f>CONCATENATE(A247, " ",B247)</f>
        <v>DaQuan Jeffries</v>
      </c>
      <c r="D247" t="s">
        <v>122</v>
      </c>
      <c r="E247" s="2">
        <v>45082</v>
      </c>
      <c r="F247" s="3">
        <f t="shared" si="12"/>
        <v>6</v>
      </c>
      <c r="G247" s="3">
        <f t="shared" si="15"/>
        <v>5</v>
      </c>
      <c r="H247" s="2" t="str">
        <f t="shared" si="13"/>
        <v>6' 5"</v>
      </c>
      <c r="I247">
        <v>222</v>
      </c>
      <c r="J247" s="1">
        <v>35672</v>
      </c>
      <c r="K247" t="s">
        <v>24</v>
      </c>
      <c r="L247" t="s">
        <v>503</v>
      </c>
      <c r="M247">
        <v>2019</v>
      </c>
      <c r="N247" t="str">
        <f t="shared" si="14"/>
        <v>Undrafted</v>
      </c>
    </row>
    <row r="248" spans="1:16" x14ac:dyDescent="0.35">
      <c r="A248" t="s">
        <v>577</v>
      </c>
      <c r="B248" t="s">
        <v>578</v>
      </c>
      <c r="C248" t="str">
        <f>CONCATENATE(A248, " ",B248)</f>
        <v>Ty Jerome</v>
      </c>
      <c r="D248" t="s">
        <v>122</v>
      </c>
      <c r="E248" s="2">
        <v>45082</v>
      </c>
      <c r="F248" s="3">
        <f t="shared" si="12"/>
        <v>6</v>
      </c>
      <c r="G248" s="3">
        <f t="shared" si="15"/>
        <v>5</v>
      </c>
      <c r="H248" s="2" t="str">
        <f t="shared" si="13"/>
        <v>6' 5"</v>
      </c>
      <c r="I248">
        <v>195</v>
      </c>
      <c r="J248" s="1">
        <v>35619</v>
      </c>
      <c r="K248" t="s">
        <v>24</v>
      </c>
      <c r="L248" t="s">
        <v>197</v>
      </c>
      <c r="M248">
        <v>2019</v>
      </c>
      <c r="N248" t="str">
        <f t="shared" si="14"/>
        <v>Drafted</v>
      </c>
      <c r="O248">
        <v>1</v>
      </c>
      <c r="P248">
        <v>24</v>
      </c>
    </row>
    <row r="249" spans="1:16" x14ac:dyDescent="0.35">
      <c r="A249" t="s">
        <v>505</v>
      </c>
      <c r="B249" t="s">
        <v>498</v>
      </c>
      <c r="C249" t="str">
        <f>CONCATENATE(A249, " ",B249)</f>
        <v>Isaiah Joe</v>
      </c>
      <c r="D249" t="s">
        <v>28</v>
      </c>
      <c r="E249" s="2">
        <v>45080</v>
      </c>
      <c r="F249" s="3">
        <f t="shared" si="12"/>
        <v>6</v>
      </c>
      <c r="G249" s="3">
        <f t="shared" si="15"/>
        <v>3</v>
      </c>
      <c r="H249" s="2" t="str">
        <f t="shared" si="13"/>
        <v>6' 3"</v>
      </c>
      <c r="I249">
        <v>165</v>
      </c>
      <c r="J249" s="1">
        <v>36343</v>
      </c>
      <c r="K249" t="s">
        <v>24</v>
      </c>
      <c r="L249" t="s">
        <v>141</v>
      </c>
      <c r="M249">
        <v>2020</v>
      </c>
      <c r="N249" t="str">
        <f t="shared" si="14"/>
        <v>Drafted</v>
      </c>
      <c r="O249">
        <v>2</v>
      </c>
      <c r="P249">
        <v>49</v>
      </c>
    </row>
    <row r="250" spans="1:16" x14ac:dyDescent="0.35">
      <c r="A250" t="s">
        <v>579</v>
      </c>
      <c r="B250" t="s">
        <v>580</v>
      </c>
      <c r="C250" t="str">
        <f>CONCATENATE(A250, " ",B250)</f>
        <v>Alize Johnson</v>
      </c>
      <c r="D250" t="s">
        <v>13</v>
      </c>
      <c r="E250" s="2">
        <v>45085</v>
      </c>
      <c r="F250" s="3">
        <f t="shared" si="12"/>
        <v>6</v>
      </c>
      <c r="G250" s="3">
        <f t="shared" si="15"/>
        <v>8</v>
      </c>
      <c r="H250" s="2" t="str">
        <f t="shared" si="13"/>
        <v>6' 8"</v>
      </c>
      <c r="I250">
        <v>212</v>
      </c>
      <c r="J250" s="1">
        <v>35177</v>
      </c>
      <c r="K250" t="s">
        <v>24</v>
      </c>
      <c r="L250" t="s">
        <v>581</v>
      </c>
      <c r="M250">
        <v>2018</v>
      </c>
      <c r="N250" t="str">
        <f t="shared" si="14"/>
        <v>Drafted</v>
      </c>
      <c r="O250">
        <v>2</v>
      </c>
      <c r="P250">
        <v>50</v>
      </c>
    </row>
    <row r="251" spans="1:16" x14ac:dyDescent="0.35">
      <c r="A251" t="s">
        <v>582</v>
      </c>
      <c r="B251" t="s">
        <v>580</v>
      </c>
      <c r="C251" t="str">
        <f>CONCATENATE(A251, " ",B251)</f>
        <v>Cameron Johnson</v>
      </c>
      <c r="D251" t="s">
        <v>13</v>
      </c>
      <c r="E251" s="2">
        <v>45085</v>
      </c>
      <c r="F251" s="3">
        <f t="shared" si="12"/>
        <v>6</v>
      </c>
      <c r="G251" s="3">
        <f t="shared" si="15"/>
        <v>8</v>
      </c>
      <c r="H251" s="2" t="str">
        <f t="shared" si="13"/>
        <v>6' 8"</v>
      </c>
      <c r="I251">
        <v>210</v>
      </c>
      <c r="J251" s="1">
        <v>35127</v>
      </c>
      <c r="K251" t="s">
        <v>24</v>
      </c>
      <c r="L251" t="s">
        <v>61</v>
      </c>
      <c r="M251">
        <v>2019</v>
      </c>
      <c r="N251" t="str">
        <f t="shared" si="14"/>
        <v>Drafted</v>
      </c>
      <c r="O251">
        <v>1</v>
      </c>
      <c r="P251">
        <v>11</v>
      </c>
    </row>
    <row r="252" spans="1:16" x14ac:dyDescent="0.35">
      <c r="A252" t="s">
        <v>214</v>
      </c>
      <c r="B252" t="s">
        <v>580</v>
      </c>
      <c r="C252" t="str">
        <f>CONCATENATE(A252, " ",B252)</f>
        <v>Jalen Johnson</v>
      </c>
      <c r="D252" t="s">
        <v>13</v>
      </c>
      <c r="E252" s="2">
        <v>45085</v>
      </c>
      <c r="F252" s="3">
        <f t="shared" si="12"/>
        <v>6</v>
      </c>
      <c r="G252" s="3">
        <f t="shared" si="15"/>
        <v>8</v>
      </c>
      <c r="H252" s="2" t="str">
        <f t="shared" si="13"/>
        <v>6' 8"</v>
      </c>
      <c r="I252">
        <v>219</v>
      </c>
      <c r="J252" s="1">
        <v>37243</v>
      </c>
      <c r="K252" t="s">
        <v>24</v>
      </c>
      <c r="L252" t="s">
        <v>41</v>
      </c>
      <c r="M252">
        <v>2021</v>
      </c>
      <c r="N252" t="str">
        <f t="shared" si="14"/>
        <v>Drafted</v>
      </c>
      <c r="O252">
        <v>1</v>
      </c>
      <c r="P252">
        <v>20</v>
      </c>
    </row>
    <row r="253" spans="1:16" x14ac:dyDescent="0.35">
      <c r="A253" t="s">
        <v>177</v>
      </c>
      <c r="B253" t="s">
        <v>580</v>
      </c>
      <c r="C253" t="str">
        <f>CONCATENATE(A253, " ",B253)</f>
        <v>James Johnson</v>
      </c>
      <c r="D253" t="s">
        <v>13</v>
      </c>
      <c r="E253" s="2">
        <v>45084</v>
      </c>
      <c r="F253" s="3">
        <f t="shared" si="12"/>
        <v>6</v>
      </c>
      <c r="G253" s="3">
        <f t="shared" si="15"/>
        <v>7</v>
      </c>
      <c r="H253" s="2" t="str">
        <f t="shared" si="13"/>
        <v>6' 7"</v>
      </c>
      <c r="I253">
        <v>240</v>
      </c>
      <c r="J253" s="1">
        <v>31828</v>
      </c>
      <c r="K253" t="s">
        <v>24</v>
      </c>
      <c r="L253" t="s">
        <v>285</v>
      </c>
      <c r="M253">
        <v>2009</v>
      </c>
      <c r="N253" t="str">
        <f t="shared" si="14"/>
        <v>Drafted</v>
      </c>
      <c r="O253">
        <v>1</v>
      </c>
      <c r="P253">
        <v>16</v>
      </c>
    </row>
    <row r="254" spans="1:16" x14ac:dyDescent="0.35">
      <c r="A254" t="s">
        <v>583</v>
      </c>
      <c r="B254" t="s">
        <v>580</v>
      </c>
      <c r="C254" t="str">
        <f>CONCATENATE(A254, " ",B254)</f>
        <v>Keldon Johnson</v>
      </c>
      <c r="D254" t="s">
        <v>49</v>
      </c>
      <c r="E254" s="2">
        <v>45082</v>
      </c>
      <c r="F254" s="3">
        <f t="shared" si="12"/>
        <v>6</v>
      </c>
      <c r="G254" s="3">
        <f t="shared" si="15"/>
        <v>5</v>
      </c>
      <c r="H254" s="2" t="str">
        <f t="shared" si="13"/>
        <v>6' 5"</v>
      </c>
      <c r="I254">
        <v>220</v>
      </c>
      <c r="J254" s="1">
        <v>36444</v>
      </c>
      <c r="K254" t="s">
        <v>24</v>
      </c>
      <c r="L254" t="s">
        <v>25</v>
      </c>
      <c r="M254">
        <v>2019</v>
      </c>
      <c r="N254" t="str">
        <f t="shared" si="14"/>
        <v>Drafted</v>
      </c>
      <c r="O254">
        <v>1</v>
      </c>
      <c r="P254">
        <v>29</v>
      </c>
    </row>
    <row r="255" spans="1:16" x14ac:dyDescent="0.35">
      <c r="A255" t="s">
        <v>388</v>
      </c>
      <c r="B255" t="s">
        <v>580</v>
      </c>
      <c r="C255" t="str">
        <f>CONCATENATE(A255, " ",B255)</f>
        <v>Keon Johnson</v>
      </c>
      <c r="D255" t="s">
        <v>28</v>
      </c>
      <c r="E255" s="2">
        <v>45080</v>
      </c>
      <c r="F255" s="3">
        <f t="shared" si="12"/>
        <v>6</v>
      </c>
      <c r="G255" s="3">
        <f t="shared" si="15"/>
        <v>3</v>
      </c>
      <c r="H255" s="2" t="str">
        <f t="shared" si="13"/>
        <v>6' 3"</v>
      </c>
      <c r="I255">
        <v>185</v>
      </c>
      <c r="J255" s="1">
        <v>37325</v>
      </c>
      <c r="K255" t="s">
        <v>24</v>
      </c>
      <c r="L255" t="s">
        <v>267</v>
      </c>
      <c r="M255">
        <v>2021</v>
      </c>
      <c r="N255" t="str">
        <f t="shared" si="14"/>
        <v>Drafted</v>
      </c>
      <c r="O255">
        <v>1</v>
      </c>
      <c r="P255">
        <v>21</v>
      </c>
    </row>
    <row r="256" spans="1:16" x14ac:dyDescent="0.35">
      <c r="A256" t="s">
        <v>584</v>
      </c>
      <c r="B256" t="s">
        <v>580</v>
      </c>
      <c r="C256" t="str">
        <f>CONCATENATE(A256, " ",B256)</f>
        <v>Stanley Johnson</v>
      </c>
      <c r="D256" t="s">
        <v>49</v>
      </c>
      <c r="E256" s="2">
        <v>45083</v>
      </c>
      <c r="F256" s="3">
        <f t="shared" si="12"/>
        <v>6</v>
      </c>
      <c r="G256" s="3">
        <f t="shared" si="15"/>
        <v>6</v>
      </c>
      <c r="H256" s="2" t="str">
        <f t="shared" si="13"/>
        <v>6' 6"</v>
      </c>
      <c r="I256">
        <v>242</v>
      </c>
      <c r="J256" s="1">
        <v>35214</v>
      </c>
      <c r="K256" t="s">
        <v>24</v>
      </c>
      <c r="L256" t="s">
        <v>79</v>
      </c>
      <c r="M256">
        <v>2015</v>
      </c>
      <c r="N256" t="str">
        <f t="shared" si="14"/>
        <v>Drafted</v>
      </c>
      <c r="O256">
        <v>1</v>
      </c>
      <c r="P256">
        <v>8</v>
      </c>
    </row>
    <row r="257" spans="1:16" x14ac:dyDescent="0.35">
      <c r="A257" t="s">
        <v>585</v>
      </c>
      <c r="B257" t="s">
        <v>586</v>
      </c>
      <c r="C257" t="str">
        <f>CONCATENATE(A257, " ",B257)</f>
        <v>Nikola Jokic</v>
      </c>
      <c r="D257" t="s">
        <v>18</v>
      </c>
      <c r="E257" s="2">
        <v>45088</v>
      </c>
      <c r="F257" s="3">
        <f t="shared" si="12"/>
        <v>6</v>
      </c>
      <c r="G257" s="3">
        <f t="shared" si="15"/>
        <v>11</v>
      </c>
      <c r="H257" s="2" t="str">
        <f t="shared" si="13"/>
        <v>6' 11"</v>
      </c>
      <c r="I257">
        <v>284</v>
      </c>
      <c r="J257" s="1">
        <v>34749</v>
      </c>
      <c r="K257" t="s">
        <v>160</v>
      </c>
      <c r="L257" t="s">
        <v>150</v>
      </c>
      <c r="M257">
        <v>2014</v>
      </c>
      <c r="N257" t="str">
        <f t="shared" si="14"/>
        <v>Drafted</v>
      </c>
      <c r="O257">
        <v>2</v>
      </c>
      <c r="P257">
        <v>41</v>
      </c>
    </row>
    <row r="258" spans="1:16" x14ac:dyDescent="0.35">
      <c r="A258" t="s">
        <v>587</v>
      </c>
      <c r="B258" t="s">
        <v>588</v>
      </c>
      <c r="C258" t="str">
        <f>CONCATENATE(A258, " ",B258)</f>
        <v>Carlik Jones</v>
      </c>
      <c r="D258" t="s">
        <v>28</v>
      </c>
      <c r="E258" s="2">
        <v>36678</v>
      </c>
      <c r="F258" s="3">
        <f t="shared" si="12"/>
        <v>6</v>
      </c>
      <c r="G258" s="3">
        <f t="shared" si="15"/>
        <v>1</v>
      </c>
      <c r="H258" s="2" t="str">
        <f t="shared" si="13"/>
        <v>6' 1"</v>
      </c>
      <c r="I258">
        <v>174</v>
      </c>
      <c r="J258" s="1">
        <v>35787</v>
      </c>
      <c r="K258" t="s">
        <v>24</v>
      </c>
      <c r="L258" t="s">
        <v>345</v>
      </c>
      <c r="M258">
        <v>2021</v>
      </c>
      <c r="N258" t="str">
        <f t="shared" si="14"/>
        <v>Undrafted</v>
      </c>
    </row>
    <row r="259" spans="1:16" x14ac:dyDescent="0.35">
      <c r="A259" t="s">
        <v>589</v>
      </c>
      <c r="B259" t="s">
        <v>588</v>
      </c>
      <c r="C259" t="str">
        <f>CONCATENATE(A259, " ",B259)</f>
        <v>Damian Jones</v>
      </c>
      <c r="D259" t="s">
        <v>18</v>
      </c>
      <c r="E259" s="2">
        <v>45088</v>
      </c>
      <c r="F259" s="3">
        <f t="shared" ref="F259:F322" si="16">MONTH(E259)</f>
        <v>6</v>
      </c>
      <c r="G259" s="3">
        <f t="shared" si="15"/>
        <v>11</v>
      </c>
      <c r="H259" s="2" t="str">
        <f t="shared" ref="H259:H322" si="17">CONCATENATE(F259,"' ",G259,"""")</f>
        <v>6' 11"</v>
      </c>
      <c r="I259">
        <v>245</v>
      </c>
      <c r="J259" s="1">
        <v>34880</v>
      </c>
      <c r="K259" t="s">
        <v>24</v>
      </c>
      <c r="L259" t="s">
        <v>429</v>
      </c>
      <c r="M259">
        <v>2016</v>
      </c>
      <c r="N259" t="str">
        <f t="shared" ref="N259:N322" si="18">IF(O259 &gt; 0,"Drafted","Undrafted")</f>
        <v>Drafted</v>
      </c>
      <c r="O259">
        <v>1</v>
      </c>
      <c r="P259">
        <v>30</v>
      </c>
    </row>
    <row r="260" spans="1:16" x14ac:dyDescent="0.35">
      <c r="A260" t="s">
        <v>590</v>
      </c>
      <c r="B260" t="s">
        <v>588</v>
      </c>
      <c r="C260" t="str">
        <f>CONCATENATE(A260, " ",B260)</f>
        <v>Herbert Jones</v>
      </c>
      <c r="D260" t="s">
        <v>13</v>
      </c>
      <c r="E260" s="2">
        <v>45084</v>
      </c>
      <c r="F260" s="3">
        <f t="shared" si="16"/>
        <v>6</v>
      </c>
      <c r="G260" s="3">
        <f t="shared" ref="G260:G323" si="19">DAY(E260)</f>
        <v>7</v>
      </c>
      <c r="H260" s="2" t="str">
        <f t="shared" si="17"/>
        <v>6' 7"</v>
      </c>
      <c r="I260">
        <v>206</v>
      </c>
      <c r="J260" s="1">
        <v>36074</v>
      </c>
      <c r="K260" t="s">
        <v>24</v>
      </c>
      <c r="L260" t="s">
        <v>323</v>
      </c>
      <c r="M260">
        <v>2021</v>
      </c>
      <c r="N260" t="str">
        <f t="shared" si="18"/>
        <v>Drafted</v>
      </c>
      <c r="O260">
        <v>2</v>
      </c>
      <c r="P260">
        <v>35</v>
      </c>
    </row>
    <row r="261" spans="1:16" x14ac:dyDescent="0.35">
      <c r="A261" t="s">
        <v>591</v>
      </c>
      <c r="B261" t="s">
        <v>588</v>
      </c>
      <c r="C261" t="str">
        <f>CONCATENATE(A261, " ",B261)</f>
        <v>Kai Jones</v>
      </c>
      <c r="D261" t="s">
        <v>23</v>
      </c>
      <c r="E261" s="2">
        <v>45088</v>
      </c>
      <c r="F261" s="3">
        <f t="shared" si="16"/>
        <v>6</v>
      </c>
      <c r="G261" s="3">
        <f t="shared" si="19"/>
        <v>11</v>
      </c>
      <c r="H261" s="2" t="str">
        <f t="shared" si="17"/>
        <v>6' 11"</v>
      </c>
      <c r="I261">
        <v>221</v>
      </c>
      <c r="J261" s="1">
        <v>36910</v>
      </c>
      <c r="K261" t="s">
        <v>78</v>
      </c>
      <c r="L261" t="s">
        <v>43</v>
      </c>
      <c r="M261">
        <v>2021</v>
      </c>
      <c r="N261" t="str">
        <f t="shared" si="18"/>
        <v>Drafted</v>
      </c>
      <c r="O261">
        <v>1</v>
      </c>
      <c r="P261">
        <v>19</v>
      </c>
    </row>
    <row r="262" spans="1:16" x14ac:dyDescent="0.35">
      <c r="A262" t="s">
        <v>592</v>
      </c>
      <c r="B262" t="s">
        <v>588</v>
      </c>
      <c r="C262" t="str">
        <f>CONCATENATE(A262, " ",B262)</f>
        <v>Tre Jones</v>
      </c>
      <c r="D262" t="s">
        <v>28</v>
      </c>
      <c r="E262" s="2">
        <v>45078</v>
      </c>
      <c r="F262" s="3">
        <f t="shared" si="16"/>
        <v>6</v>
      </c>
      <c r="G262" s="3">
        <f t="shared" si="19"/>
        <v>1</v>
      </c>
      <c r="H262" s="2" t="str">
        <f t="shared" si="17"/>
        <v>6' 1"</v>
      </c>
      <c r="I262">
        <v>185</v>
      </c>
      <c r="J262" s="1">
        <v>36533</v>
      </c>
      <c r="K262" t="s">
        <v>24</v>
      </c>
      <c r="L262" t="s">
        <v>41</v>
      </c>
      <c r="M262">
        <v>2020</v>
      </c>
      <c r="N262" t="str">
        <f t="shared" si="18"/>
        <v>Drafted</v>
      </c>
      <c r="O262">
        <v>2</v>
      </c>
      <c r="P262">
        <v>41</v>
      </c>
    </row>
    <row r="263" spans="1:16" x14ac:dyDescent="0.35">
      <c r="A263" t="s">
        <v>593</v>
      </c>
      <c r="B263" t="s">
        <v>588</v>
      </c>
      <c r="C263" t="str">
        <f>CONCATENATE(A263, " ",B263)</f>
        <v>Tyus Jones</v>
      </c>
      <c r="D263" t="s">
        <v>28</v>
      </c>
      <c r="E263" s="2">
        <v>45079</v>
      </c>
      <c r="F263" s="3">
        <f t="shared" si="16"/>
        <v>6</v>
      </c>
      <c r="G263" s="3">
        <f t="shared" si="19"/>
        <v>2</v>
      </c>
      <c r="H263" s="2" t="str">
        <f t="shared" si="17"/>
        <v>6' 2"</v>
      </c>
      <c r="I263">
        <v>196</v>
      </c>
      <c r="J263" s="1">
        <v>35195</v>
      </c>
      <c r="K263" t="s">
        <v>24</v>
      </c>
      <c r="L263" t="s">
        <v>41</v>
      </c>
      <c r="M263">
        <v>2015</v>
      </c>
      <c r="N263" t="str">
        <f t="shared" si="18"/>
        <v>Drafted</v>
      </c>
      <c r="O263">
        <v>1</v>
      </c>
      <c r="P263">
        <v>24</v>
      </c>
    </row>
    <row r="264" spans="1:16" x14ac:dyDescent="0.35">
      <c r="A264" t="s">
        <v>396</v>
      </c>
      <c r="B264" t="s">
        <v>594</v>
      </c>
      <c r="C264" t="str">
        <f>CONCATENATE(A264, " ",B264)</f>
        <v>Derrick Jones Jr.</v>
      </c>
      <c r="D264" t="s">
        <v>13</v>
      </c>
      <c r="E264" s="2">
        <v>45083</v>
      </c>
      <c r="F264" s="3">
        <f t="shared" si="16"/>
        <v>6</v>
      </c>
      <c r="G264" s="3">
        <f t="shared" si="19"/>
        <v>6</v>
      </c>
      <c r="H264" s="2" t="str">
        <f t="shared" si="17"/>
        <v>6' 6"</v>
      </c>
      <c r="I264">
        <v>210</v>
      </c>
      <c r="J264" s="1">
        <v>35476</v>
      </c>
      <c r="K264" t="s">
        <v>24</v>
      </c>
      <c r="L264" t="s">
        <v>146</v>
      </c>
      <c r="M264">
        <v>2016</v>
      </c>
      <c r="N264" t="str">
        <f t="shared" si="18"/>
        <v>Undrafted</v>
      </c>
    </row>
    <row r="265" spans="1:16" x14ac:dyDescent="0.35">
      <c r="A265" t="s">
        <v>595</v>
      </c>
      <c r="B265" t="s">
        <v>276</v>
      </c>
      <c r="C265" t="str">
        <f>CONCATENATE(A265, " ",B265)</f>
        <v>DeAndre Jordan</v>
      </c>
      <c r="D265" t="s">
        <v>18</v>
      </c>
      <c r="E265" s="2">
        <v>45088</v>
      </c>
      <c r="F265" s="3">
        <f t="shared" si="16"/>
        <v>6</v>
      </c>
      <c r="G265" s="3">
        <f t="shared" si="19"/>
        <v>11</v>
      </c>
      <c r="H265" s="2" t="str">
        <f t="shared" si="17"/>
        <v>6' 11"</v>
      </c>
      <c r="I265">
        <v>265</v>
      </c>
      <c r="J265" s="1">
        <v>32345</v>
      </c>
      <c r="K265" t="s">
        <v>24</v>
      </c>
      <c r="L265" t="s">
        <v>258</v>
      </c>
      <c r="M265">
        <v>2008</v>
      </c>
      <c r="N265" t="str">
        <f t="shared" si="18"/>
        <v>Drafted</v>
      </c>
      <c r="O265">
        <v>2</v>
      </c>
      <c r="P265">
        <v>35</v>
      </c>
    </row>
    <row r="266" spans="1:16" x14ac:dyDescent="0.35">
      <c r="A266" t="s">
        <v>596</v>
      </c>
      <c r="B266" t="s">
        <v>597</v>
      </c>
      <c r="C266" t="str">
        <f>CONCATENATE(A266, " ",B266)</f>
        <v>Cory Joseph</v>
      </c>
      <c r="D266" t="s">
        <v>28</v>
      </c>
      <c r="E266" s="2">
        <v>45080</v>
      </c>
      <c r="F266" s="3">
        <f t="shared" si="16"/>
        <v>6</v>
      </c>
      <c r="G266" s="3">
        <f t="shared" si="19"/>
        <v>3</v>
      </c>
      <c r="H266" s="2" t="str">
        <f t="shared" si="17"/>
        <v>6' 3"</v>
      </c>
      <c r="I266">
        <v>200</v>
      </c>
      <c r="J266" s="1">
        <v>33470</v>
      </c>
      <c r="K266" t="s">
        <v>37</v>
      </c>
      <c r="L266" t="s">
        <v>43</v>
      </c>
      <c r="M266">
        <v>2011</v>
      </c>
      <c r="N266" t="str">
        <f t="shared" si="18"/>
        <v>Drafted</v>
      </c>
      <c r="O266">
        <v>1</v>
      </c>
      <c r="P266">
        <v>29</v>
      </c>
    </row>
    <row r="267" spans="1:16" x14ac:dyDescent="0.35">
      <c r="A267" t="s">
        <v>585</v>
      </c>
      <c r="B267" t="s">
        <v>598</v>
      </c>
      <c r="C267" t="str">
        <f>CONCATENATE(A267, " ",B267)</f>
        <v>Nikola Jovic</v>
      </c>
      <c r="D267" t="s">
        <v>13</v>
      </c>
      <c r="E267" s="2">
        <v>45087</v>
      </c>
      <c r="F267" s="3">
        <f t="shared" si="16"/>
        <v>6</v>
      </c>
      <c r="G267" s="3">
        <f t="shared" si="19"/>
        <v>10</v>
      </c>
      <c r="H267" s="2" t="str">
        <f t="shared" si="17"/>
        <v>6' 10"</v>
      </c>
      <c r="I267">
        <v>205</v>
      </c>
      <c r="J267" s="1">
        <v>37781</v>
      </c>
      <c r="K267" t="s">
        <v>160</v>
      </c>
      <c r="L267" t="s">
        <v>150</v>
      </c>
      <c r="M267">
        <v>2022</v>
      </c>
      <c r="N267" t="str">
        <f t="shared" si="18"/>
        <v>Drafted</v>
      </c>
      <c r="O267">
        <v>1</v>
      </c>
      <c r="P267">
        <v>27</v>
      </c>
    </row>
    <row r="268" spans="1:16" x14ac:dyDescent="0.35">
      <c r="A268" t="s">
        <v>317</v>
      </c>
      <c r="B268" t="s">
        <v>599</v>
      </c>
      <c r="C268" t="str">
        <f>CONCATENATE(A268, " ",B268)</f>
        <v>Johnny Juzang</v>
      </c>
      <c r="D268" t="s">
        <v>28</v>
      </c>
      <c r="E268" s="2">
        <v>45083</v>
      </c>
      <c r="F268" s="3">
        <f t="shared" si="16"/>
        <v>6</v>
      </c>
      <c r="G268" s="3">
        <f t="shared" si="19"/>
        <v>6</v>
      </c>
      <c r="H268" s="2" t="str">
        <f t="shared" si="17"/>
        <v>6' 6"</v>
      </c>
      <c r="I268">
        <v>209</v>
      </c>
      <c r="J268" s="1">
        <v>36967</v>
      </c>
      <c r="K268" t="s">
        <v>24</v>
      </c>
      <c r="L268" t="s">
        <v>50</v>
      </c>
      <c r="M268">
        <v>2022</v>
      </c>
      <c r="N268" t="str">
        <f t="shared" si="18"/>
        <v>Undrafted</v>
      </c>
    </row>
    <row r="269" spans="1:16" x14ac:dyDescent="0.35">
      <c r="A269" t="s">
        <v>600</v>
      </c>
      <c r="B269" t="s">
        <v>601</v>
      </c>
      <c r="C269" t="str">
        <f>CONCATENATE(A269, " ",B269)</f>
        <v>Mfiondu Kabengele</v>
      </c>
      <c r="D269" t="s">
        <v>18</v>
      </c>
      <c r="E269" s="2">
        <v>45087</v>
      </c>
      <c r="F269" s="3">
        <f t="shared" si="16"/>
        <v>6</v>
      </c>
      <c r="G269" s="3">
        <f t="shared" si="19"/>
        <v>10</v>
      </c>
      <c r="H269" s="2" t="str">
        <f t="shared" si="17"/>
        <v>6' 10"</v>
      </c>
      <c r="I269">
        <v>250</v>
      </c>
      <c r="J269" s="1">
        <v>35656</v>
      </c>
      <c r="K269" t="s">
        <v>37</v>
      </c>
      <c r="L269" t="s">
        <v>109</v>
      </c>
      <c r="M269">
        <v>2019</v>
      </c>
      <c r="N269" t="str">
        <f t="shared" si="18"/>
        <v>Drafted</v>
      </c>
      <c r="O269">
        <v>1</v>
      </c>
      <c r="P269">
        <v>27</v>
      </c>
    </row>
    <row r="270" spans="1:16" x14ac:dyDescent="0.35">
      <c r="A270" t="s">
        <v>567</v>
      </c>
      <c r="B270" t="s">
        <v>602</v>
      </c>
      <c r="C270" t="str">
        <f>CONCATENATE(A270, " ",B270)</f>
        <v>Frank Kaminsky</v>
      </c>
      <c r="D270" t="s">
        <v>32</v>
      </c>
      <c r="E270" s="2">
        <v>36708</v>
      </c>
      <c r="F270" s="3">
        <f t="shared" si="16"/>
        <v>7</v>
      </c>
      <c r="G270" s="3">
        <f t="shared" si="19"/>
        <v>1</v>
      </c>
      <c r="H270" s="2" t="str">
        <f t="shared" si="17"/>
        <v>7' 1"</v>
      </c>
      <c r="I270">
        <v>240</v>
      </c>
      <c r="J270" s="1">
        <v>34063</v>
      </c>
      <c r="K270" t="s">
        <v>24</v>
      </c>
      <c r="L270" t="s">
        <v>318</v>
      </c>
      <c r="M270">
        <v>2015</v>
      </c>
      <c r="N270" t="str">
        <f t="shared" si="18"/>
        <v>Drafted</v>
      </c>
      <c r="O270">
        <v>1</v>
      </c>
      <c r="P270">
        <v>9</v>
      </c>
    </row>
    <row r="271" spans="1:16" x14ac:dyDescent="0.35">
      <c r="A271" t="s">
        <v>542</v>
      </c>
      <c r="B271" t="s">
        <v>603</v>
      </c>
      <c r="C271" t="str">
        <f>CONCATENATE(A271, " ",B271)</f>
        <v>Trevor Keels</v>
      </c>
      <c r="D271" t="s">
        <v>28</v>
      </c>
      <c r="E271" s="2">
        <v>45081</v>
      </c>
      <c r="F271" s="3">
        <f t="shared" si="16"/>
        <v>6</v>
      </c>
      <c r="G271" s="3">
        <f t="shared" si="19"/>
        <v>4</v>
      </c>
      <c r="H271" s="2" t="str">
        <f t="shared" si="17"/>
        <v>6' 4"</v>
      </c>
      <c r="I271">
        <v>221</v>
      </c>
      <c r="J271" s="1">
        <v>37859</v>
      </c>
      <c r="K271" t="s">
        <v>24</v>
      </c>
      <c r="L271" t="s">
        <v>41</v>
      </c>
      <c r="M271">
        <v>2022</v>
      </c>
      <c r="N271" t="str">
        <f t="shared" si="18"/>
        <v>Drafted</v>
      </c>
      <c r="O271">
        <v>2</v>
      </c>
      <c r="P271">
        <v>42</v>
      </c>
    </row>
    <row r="272" spans="1:16" x14ac:dyDescent="0.35">
      <c r="A272" t="s">
        <v>604</v>
      </c>
      <c r="B272" t="s">
        <v>605</v>
      </c>
      <c r="C272" t="str">
        <f>CONCATENATE(A272, " ",B272)</f>
        <v>Luke Kennard</v>
      </c>
      <c r="D272" t="s">
        <v>28</v>
      </c>
      <c r="E272" s="2">
        <v>45082</v>
      </c>
      <c r="F272" s="3">
        <f t="shared" si="16"/>
        <v>6</v>
      </c>
      <c r="G272" s="3">
        <f t="shared" si="19"/>
        <v>5</v>
      </c>
      <c r="H272" s="2" t="str">
        <f t="shared" si="17"/>
        <v>6' 5"</v>
      </c>
      <c r="I272">
        <v>206</v>
      </c>
      <c r="J272" s="1">
        <v>35240</v>
      </c>
      <c r="K272" t="s">
        <v>24</v>
      </c>
      <c r="L272" t="s">
        <v>41</v>
      </c>
      <c r="M272">
        <v>2017</v>
      </c>
      <c r="N272" t="str">
        <f t="shared" si="18"/>
        <v>Drafted</v>
      </c>
      <c r="O272">
        <v>1</v>
      </c>
      <c r="P272">
        <v>12</v>
      </c>
    </row>
    <row r="273" spans="1:16" x14ac:dyDescent="0.35">
      <c r="A273" t="s">
        <v>606</v>
      </c>
      <c r="B273" t="s">
        <v>386</v>
      </c>
      <c r="C273" t="str">
        <f>CONCATENATE(A273, " ",B273)</f>
        <v>Walker Kessler</v>
      </c>
      <c r="D273" t="s">
        <v>18</v>
      </c>
      <c r="E273" s="2">
        <v>36708</v>
      </c>
      <c r="F273" s="3">
        <f t="shared" si="16"/>
        <v>7</v>
      </c>
      <c r="G273" s="3">
        <f t="shared" si="19"/>
        <v>1</v>
      </c>
      <c r="H273" s="2" t="str">
        <f t="shared" si="17"/>
        <v>7' 1"</v>
      </c>
      <c r="I273">
        <v>245</v>
      </c>
      <c r="J273" s="1">
        <v>37098</v>
      </c>
      <c r="K273" t="s">
        <v>24</v>
      </c>
      <c r="L273" t="s">
        <v>607</v>
      </c>
      <c r="M273">
        <v>2022</v>
      </c>
      <c r="N273" t="str">
        <f t="shared" si="18"/>
        <v>Drafted</v>
      </c>
      <c r="O273">
        <v>1</v>
      </c>
      <c r="P273">
        <v>22</v>
      </c>
    </row>
    <row r="274" spans="1:16" x14ac:dyDescent="0.35">
      <c r="A274" t="s">
        <v>608</v>
      </c>
      <c r="B274" t="s">
        <v>609</v>
      </c>
      <c r="C274" t="str">
        <f>CONCATENATE(A274, " ",B274)</f>
        <v>Braxton Key</v>
      </c>
      <c r="D274" t="s">
        <v>13</v>
      </c>
      <c r="E274" s="2">
        <v>45085</v>
      </c>
      <c r="F274" s="3">
        <f t="shared" si="16"/>
        <v>6</v>
      </c>
      <c r="G274" s="3">
        <f t="shared" si="19"/>
        <v>8</v>
      </c>
      <c r="H274" s="2" t="str">
        <f t="shared" si="17"/>
        <v>6' 8"</v>
      </c>
      <c r="I274">
        <v>225</v>
      </c>
      <c r="J274" s="1">
        <v>35475</v>
      </c>
      <c r="K274" t="s">
        <v>24</v>
      </c>
      <c r="L274" t="s">
        <v>197</v>
      </c>
      <c r="M274">
        <v>2021</v>
      </c>
      <c r="N274" t="str">
        <f t="shared" si="18"/>
        <v>Undrafted</v>
      </c>
    </row>
    <row r="275" spans="1:16" x14ac:dyDescent="0.35">
      <c r="A275" t="s">
        <v>610</v>
      </c>
      <c r="B275" t="s">
        <v>611</v>
      </c>
      <c r="C275" t="str">
        <f>CONCATENATE(A275, " ",B275)</f>
        <v>Louis King</v>
      </c>
      <c r="D275" t="s">
        <v>13</v>
      </c>
      <c r="E275" s="2">
        <v>45084</v>
      </c>
      <c r="F275" s="3">
        <f t="shared" si="16"/>
        <v>6</v>
      </c>
      <c r="G275" s="3">
        <f t="shared" si="19"/>
        <v>7</v>
      </c>
      <c r="H275" s="2" t="str">
        <f t="shared" si="17"/>
        <v>6' 7"</v>
      </c>
      <c r="I275">
        <v>205</v>
      </c>
      <c r="J275" s="1">
        <v>36256</v>
      </c>
      <c r="K275" t="s">
        <v>24</v>
      </c>
      <c r="L275" t="s">
        <v>166</v>
      </c>
      <c r="M275">
        <v>2019</v>
      </c>
      <c r="N275" t="str">
        <f t="shared" si="18"/>
        <v>Undrafted</v>
      </c>
    </row>
    <row r="276" spans="1:16" x14ac:dyDescent="0.35">
      <c r="A276" t="s">
        <v>612</v>
      </c>
      <c r="B276" t="s">
        <v>613</v>
      </c>
      <c r="C276" t="str">
        <f>CONCATENATE(A276, " ",B276)</f>
        <v>Corey Kispert</v>
      </c>
      <c r="D276" t="s">
        <v>13</v>
      </c>
      <c r="E276" s="2">
        <v>45083</v>
      </c>
      <c r="F276" s="3">
        <f t="shared" si="16"/>
        <v>6</v>
      </c>
      <c r="G276" s="3">
        <f t="shared" si="19"/>
        <v>6</v>
      </c>
      <c r="H276" s="2" t="str">
        <f t="shared" si="17"/>
        <v>6' 6"</v>
      </c>
      <c r="I276">
        <v>224</v>
      </c>
      <c r="J276" s="1">
        <v>36222</v>
      </c>
      <c r="K276" t="s">
        <v>24</v>
      </c>
      <c r="L276" t="s">
        <v>275</v>
      </c>
      <c r="M276">
        <v>2021</v>
      </c>
      <c r="N276" t="str">
        <f t="shared" si="18"/>
        <v>Drafted</v>
      </c>
      <c r="O276">
        <v>1</v>
      </c>
      <c r="P276">
        <v>15</v>
      </c>
    </row>
    <row r="277" spans="1:16" x14ac:dyDescent="0.35">
      <c r="A277" t="s">
        <v>614</v>
      </c>
      <c r="B277" t="s">
        <v>615</v>
      </c>
      <c r="C277" t="str">
        <f>CONCATENATE(A277, " ",B277)</f>
        <v>Maxi Kleber</v>
      </c>
      <c r="D277" t="s">
        <v>13</v>
      </c>
      <c r="E277" s="2">
        <v>45087</v>
      </c>
      <c r="F277" s="3">
        <f t="shared" si="16"/>
        <v>6</v>
      </c>
      <c r="G277" s="3">
        <f t="shared" si="19"/>
        <v>10</v>
      </c>
      <c r="H277" s="2" t="str">
        <f t="shared" si="17"/>
        <v>6' 10"</v>
      </c>
      <c r="I277">
        <v>240</v>
      </c>
      <c r="J277" s="1">
        <v>33632</v>
      </c>
      <c r="K277" t="s">
        <v>507</v>
      </c>
      <c r="L277" t="s">
        <v>616</v>
      </c>
      <c r="M277">
        <v>2017</v>
      </c>
      <c r="N277" t="str">
        <f t="shared" si="18"/>
        <v>Undrafted</v>
      </c>
    </row>
    <row r="278" spans="1:16" x14ac:dyDescent="0.35">
      <c r="A278" t="s">
        <v>617</v>
      </c>
      <c r="B278" t="s">
        <v>618</v>
      </c>
      <c r="C278" t="str">
        <f>CONCATENATE(A278, " ",B278)</f>
        <v>Nathan Knight</v>
      </c>
      <c r="D278" t="s">
        <v>32</v>
      </c>
      <c r="E278" s="2">
        <v>45085</v>
      </c>
      <c r="F278" s="3">
        <f t="shared" si="16"/>
        <v>6</v>
      </c>
      <c r="G278" s="3">
        <f t="shared" si="19"/>
        <v>8</v>
      </c>
      <c r="H278" s="2" t="str">
        <f t="shared" si="17"/>
        <v>6' 8"</v>
      </c>
      <c r="I278">
        <v>253</v>
      </c>
      <c r="J278" s="1">
        <v>35693</v>
      </c>
      <c r="K278" t="s">
        <v>24</v>
      </c>
      <c r="L278" t="s">
        <v>619</v>
      </c>
      <c r="M278">
        <v>2020</v>
      </c>
      <c r="N278" t="str">
        <f t="shared" si="18"/>
        <v>Undrafted</v>
      </c>
    </row>
    <row r="279" spans="1:16" x14ac:dyDescent="0.35">
      <c r="A279" t="s">
        <v>380</v>
      </c>
      <c r="B279" t="s">
        <v>620</v>
      </c>
      <c r="C279" t="str">
        <f>CONCATENATE(A279, " ",B279)</f>
        <v>Kevin Knox II</v>
      </c>
      <c r="D279" t="s">
        <v>13</v>
      </c>
      <c r="E279" s="2">
        <v>45084</v>
      </c>
      <c r="F279" s="3">
        <f t="shared" si="16"/>
        <v>6</v>
      </c>
      <c r="G279" s="3">
        <f t="shared" si="19"/>
        <v>7</v>
      </c>
      <c r="H279" s="2" t="str">
        <f t="shared" si="17"/>
        <v>6' 7"</v>
      </c>
      <c r="I279">
        <v>215</v>
      </c>
      <c r="J279" s="1">
        <v>36383</v>
      </c>
      <c r="K279" t="s">
        <v>24</v>
      </c>
      <c r="L279" t="s">
        <v>25</v>
      </c>
      <c r="M279">
        <v>2018</v>
      </c>
      <c r="N279" t="str">
        <f t="shared" si="18"/>
        <v>Drafted</v>
      </c>
      <c r="O279">
        <v>1</v>
      </c>
      <c r="P279">
        <v>9</v>
      </c>
    </row>
    <row r="280" spans="1:16" x14ac:dyDescent="0.35">
      <c r="A280" t="s">
        <v>189</v>
      </c>
      <c r="B280" t="s">
        <v>621</v>
      </c>
      <c r="C280" t="str">
        <f>CONCATENATE(A280, " ",B280)</f>
        <v>Christian Koloko</v>
      </c>
      <c r="D280" t="s">
        <v>18</v>
      </c>
      <c r="E280" s="2">
        <v>36708</v>
      </c>
      <c r="F280" s="3">
        <f t="shared" si="16"/>
        <v>7</v>
      </c>
      <c r="G280" s="3">
        <f t="shared" si="19"/>
        <v>1</v>
      </c>
      <c r="H280" s="2" t="str">
        <f t="shared" si="17"/>
        <v>7' 1"</v>
      </c>
      <c r="I280">
        <v>230</v>
      </c>
      <c r="J280" s="1">
        <v>36697</v>
      </c>
      <c r="K280" t="s">
        <v>392</v>
      </c>
      <c r="L280" t="s">
        <v>79</v>
      </c>
      <c r="M280">
        <v>2022</v>
      </c>
      <c r="N280" t="str">
        <f t="shared" si="18"/>
        <v>Drafted</v>
      </c>
      <c r="O280">
        <v>2</v>
      </c>
      <c r="P280">
        <v>33</v>
      </c>
    </row>
    <row r="281" spans="1:16" x14ac:dyDescent="0.35">
      <c r="A281" t="s">
        <v>230</v>
      </c>
      <c r="B281" t="s">
        <v>622</v>
      </c>
      <c r="C281" t="str">
        <f>CONCATENATE(A281, " ",B281)</f>
        <v>John Konchar</v>
      </c>
      <c r="D281" t="s">
        <v>28</v>
      </c>
      <c r="E281" s="2">
        <v>45082</v>
      </c>
      <c r="F281" s="3">
        <f t="shared" si="16"/>
        <v>6</v>
      </c>
      <c r="G281" s="3">
        <f t="shared" si="19"/>
        <v>5</v>
      </c>
      <c r="H281" s="2" t="str">
        <f t="shared" si="17"/>
        <v>6' 5"</v>
      </c>
      <c r="I281">
        <v>210</v>
      </c>
      <c r="J281" s="1">
        <v>35146</v>
      </c>
      <c r="K281" t="s">
        <v>24</v>
      </c>
      <c r="L281" t="s">
        <v>623</v>
      </c>
      <c r="M281">
        <v>2019</v>
      </c>
      <c r="N281" t="str">
        <f t="shared" si="18"/>
        <v>Undrafted</v>
      </c>
    </row>
    <row r="282" spans="1:16" x14ac:dyDescent="0.35">
      <c r="A282" t="s">
        <v>624</v>
      </c>
      <c r="B282" t="s">
        <v>625</v>
      </c>
      <c r="C282" t="str">
        <f>CONCATENATE(A282, " ",B282)</f>
        <v>Furkan Korkmaz</v>
      </c>
      <c r="D282" t="s">
        <v>122</v>
      </c>
      <c r="E282" s="2">
        <v>45084</v>
      </c>
      <c r="F282" s="3">
        <f t="shared" si="16"/>
        <v>6</v>
      </c>
      <c r="G282" s="3">
        <f t="shared" si="19"/>
        <v>7</v>
      </c>
      <c r="H282" s="2" t="str">
        <f t="shared" si="17"/>
        <v>6' 7"</v>
      </c>
      <c r="I282">
        <v>202</v>
      </c>
      <c r="J282" s="1">
        <v>35635</v>
      </c>
      <c r="K282" t="s">
        <v>626</v>
      </c>
      <c r="L282" t="s">
        <v>627</v>
      </c>
      <c r="M282">
        <v>2016</v>
      </c>
      <c r="N282" t="str">
        <f t="shared" si="18"/>
        <v>Drafted</v>
      </c>
      <c r="O282">
        <v>1</v>
      </c>
      <c r="P282">
        <v>26</v>
      </c>
    </row>
    <row r="283" spans="1:16" x14ac:dyDescent="0.35">
      <c r="A283" t="s">
        <v>604</v>
      </c>
      <c r="B283" t="s">
        <v>628</v>
      </c>
      <c r="C283" t="str">
        <f>CONCATENATE(A283, " ",B283)</f>
        <v>Luke Kornet</v>
      </c>
      <c r="D283" t="s">
        <v>23</v>
      </c>
      <c r="E283" s="2">
        <v>45109</v>
      </c>
      <c r="F283" s="3">
        <f t="shared" si="16"/>
        <v>7</v>
      </c>
      <c r="G283" s="3">
        <f t="shared" si="19"/>
        <v>2</v>
      </c>
      <c r="H283" s="2" t="str">
        <f t="shared" si="17"/>
        <v>7' 2"</v>
      </c>
      <c r="I283">
        <v>250</v>
      </c>
      <c r="J283" s="1">
        <v>34895</v>
      </c>
      <c r="K283" t="s">
        <v>24</v>
      </c>
      <c r="L283" t="s">
        <v>429</v>
      </c>
      <c r="M283">
        <v>2017</v>
      </c>
      <c r="N283" t="str">
        <f t="shared" si="18"/>
        <v>Undrafted</v>
      </c>
    </row>
    <row r="284" spans="1:16" x14ac:dyDescent="0.35">
      <c r="A284" t="s">
        <v>629</v>
      </c>
      <c r="B284" t="s">
        <v>630</v>
      </c>
      <c r="C284" t="str">
        <f>CONCATENATE(A284, " ",B284)</f>
        <v>Vit Krejci</v>
      </c>
      <c r="D284" t="s">
        <v>28</v>
      </c>
      <c r="E284" s="2">
        <v>45085</v>
      </c>
      <c r="F284" s="3">
        <f t="shared" si="16"/>
        <v>6</v>
      </c>
      <c r="G284" s="3">
        <f t="shared" si="19"/>
        <v>8</v>
      </c>
      <c r="H284" s="2" t="str">
        <f t="shared" si="17"/>
        <v>6' 8"</v>
      </c>
      <c r="I284">
        <v>195</v>
      </c>
      <c r="J284" s="1">
        <v>36696</v>
      </c>
      <c r="K284" t="s">
        <v>631</v>
      </c>
      <c r="L284" t="s">
        <v>632</v>
      </c>
      <c r="M284">
        <v>2020</v>
      </c>
      <c r="N284" t="str">
        <f t="shared" si="18"/>
        <v>Drafted</v>
      </c>
      <c r="O284">
        <v>2</v>
      </c>
      <c r="P284">
        <v>37</v>
      </c>
    </row>
    <row r="285" spans="1:16" x14ac:dyDescent="0.35">
      <c r="A285" t="s">
        <v>563</v>
      </c>
      <c r="B285" t="s">
        <v>633</v>
      </c>
      <c r="C285" t="str">
        <f>CONCATENATE(A285, " ",B285)</f>
        <v>Jonathan Kuminga</v>
      </c>
      <c r="D285" t="s">
        <v>13</v>
      </c>
      <c r="E285" s="2">
        <v>45084</v>
      </c>
      <c r="F285" s="3">
        <f t="shared" si="16"/>
        <v>6</v>
      </c>
      <c r="G285" s="3">
        <f t="shared" si="19"/>
        <v>7</v>
      </c>
      <c r="H285" s="2" t="str">
        <f t="shared" si="17"/>
        <v>6' 7"</v>
      </c>
      <c r="I285">
        <v>225</v>
      </c>
      <c r="J285" s="1">
        <v>37535</v>
      </c>
      <c r="K285" t="s">
        <v>153</v>
      </c>
      <c r="L285" t="s">
        <v>135</v>
      </c>
      <c r="M285">
        <v>2021</v>
      </c>
      <c r="N285" t="str">
        <f t="shared" si="18"/>
        <v>Drafted</v>
      </c>
      <c r="O285">
        <v>1</v>
      </c>
      <c r="P285">
        <v>7</v>
      </c>
    </row>
    <row r="286" spans="1:16" x14ac:dyDescent="0.35">
      <c r="A286" t="s">
        <v>47</v>
      </c>
      <c r="B286" t="s">
        <v>634</v>
      </c>
      <c r="C286" t="str">
        <f>CONCATENATE(A286, " ",B286)</f>
        <v>Kyle Kuzma</v>
      </c>
      <c r="D286" t="s">
        <v>13</v>
      </c>
      <c r="E286" s="2">
        <v>45086</v>
      </c>
      <c r="F286" s="3">
        <f t="shared" si="16"/>
        <v>6</v>
      </c>
      <c r="G286" s="3">
        <f t="shared" si="19"/>
        <v>9</v>
      </c>
      <c r="H286" s="2" t="str">
        <f t="shared" si="17"/>
        <v>6' 9"</v>
      </c>
      <c r="I286">
        <v>221</v>
      </c>
      <c r="J286" s="1">
        <v>34904</v>
      </c>
      <c r="K286" t="s">
        <v>24</v>
      </c>
      <c r="L286" t="s">
        <v>635</v>
      </c>
      <c r="M286">
        <v>2017</v>
      </c>
      <c r="N286" t="str">
        <f t="shared" si="18"/>
        <v>Drafted</v>
      </c>
      <c r="O286">
        <v>1</v>
      </c>
      <c r="P286">
        <v>27</v>
      </c>
    </row>
    <row r="287" spans="1:16" x14ac:dyDescent="0.35">
      <c r="A287" t="s">
        <v>636</v>
      </c>
      <c r="B287" t="s">
        <v>637</v>
      </c>
      <c r="C287" t="str">
        <f>CONCATENATE(A287, " ",B287)</f>
        <v>Jake LaRavia</v>
      </c>
      <c r="D287" t="s">
        <v>13</v>
      </c>
      <c r="E287" s="2">
        <v>45084</v>
      </c>
      <c r="F287" s="3">
        <f t="shared" si="16"/>
        <v>6</v>
      </c>
      <c r="G287" s="3">
        <f t="shared" si="19"/>
        <v>7</v>
      </c>
      <c r="H287" s="2" t="str">
        <f t="shared" si="17"/>
        <v>6' 7"</v>
      </c>
      <c r="I287">
        <v>235</v>
      </c>
      <c r="J287" s="1">
        <v>37198</v>
      </c>
      <c r="K287" t="s">
        <v>24</v>
      </c>
      <c r="L287" t="s">
        <v>285</v>
      </c>
      <c r="M287">
        <v>2022</v>
      </c>
      <c r="N287" t="str">
        <f t="shared" si="18"/>
        <v>Drafted</v>
      </c>
      <c r="O287">
        <v>1</v>
      </c>
      <c r="P287">
        <v>19</v>
      </c>
    </row>
    <row r="288" spans="1:16" x14ac:dyDescent="0.35">
      <c r="A288" t="s">
        <v>286</v>
      </c>
      <c r="B288" t="s">
        <v>638</v>
      </c>
      <c r="C288" t="str">
        <f>CONCATENATE(A288, " ",B288)</f>
        <v>Zach LaVine</v>
      </c>
      <c r="D288" t="s">
        <v>28</v>
      </c>
      <c r="E288" s="2">
        <v>45082</v>
      </c>
      <c r="F288" s="3">
        <f t="shared" si="16"/>
        <v>6</v>
      </c>
      <c r="G288" s="3">
        <f t="shared" si="19"/>
        <v>5</v>
      </c>
      <c r="H288" s="2" t="str">
        <f t="shared" si="17"/>
        <v>6' 5"</v>
      </c>
      <c r="I288">
        <v>200</v>
      </c>
      <c r="J288" s="1">
        <v>34768</v>
      </c>
      <c r="K288" t="s">
        <v>24</v>
      </c>
      <c r="L288" t="s">
        <v>50</v>
      </c>
      <c r="M288">
        <v>2014</v>
      </c>
      <c r="N288" t="str">
        <f t="shared" si="18"/>
        <v>Drafted</v>
      </c>
      <c r="O288">
        <v>1</v>
      </c>
      <c r="P288">
        <v>13</v>
      </c>
    </row>
    <row r="289" spans="1:16" x14ac:dyDescent="0.35">
      <c r="A289" t="s">
        <v>60</v>
      </c>
      <c r="B289" t="s">
        <v>639</v>
      </c>
      <c r="C289" t="str">
        <f>CONCATENATE(A289, " ",B289)</f>
        <v>Anthony Lamb</v>
      </c>
      <c r="D289" t="s">
        <v>13</v>
      </c>
      <c r="E289" s="2">
        <v>45083</v>
      </c>
      <c r="F289" s="3">
        <f t="shared" si="16"/>
        <v>6</v>
      </c>
      <c r="G289" s="3">
        <f t="shared" si="19"/>
        <v>6</v>
      </c>
      <c r="H289" s="2" t="str">
        <f t="shared" si="17"/>
        <v>6' 6"</v>
      </c>
      <c r="I289">
        <v>227</v>
      </c>
      <c r="J289" s="1">
        <v>35815</v>
      </c>
      <c r="K289" t="s">
        <v>24</v>
      </c>
      <c r="L289" t="s">
        <v>640</v>
      </c>
      <c r="M289">
        <v>2020</v>
      </c>
      <c r="N289" t="str">
        <f t="shared" si="18"/>
        <v>Undrafted</v>
      </c>
    </row>
    <row r="290" spans="1:16" x14ac:dyDescent="0.35">
      <c r="A290" t="s">
        <v>641</v>
      </c>
      <c r="B290" t="s">
        <v>642</v>
      </c>
      <c r="C290" t="str">
        <f>CONCATENATE(A290, " ",B290)</f>
        <v>Jock Landale</v>
      </c>
      <c r="D290" t="s">
        <v>18</v>
      </c>
      <c r="E290" s="2">
        <v>45088</v>
      </c>
      <c r="F290" s="3">
        <f t="shared" si="16"/>
        <v>6</v>
      </c>
      <c r="G290" s="3">
        <f t="shared" si="19"/>
        <v>11</v>
      </c>
      <c r="H290" s="2" t="str">
        <f t="shared" si="17"/>
        <v>6' 11"</v>
      </c>
      <c r="I290">
        <v>255</v>
      </c>
      <c r="J290" s="1">
        <v>34997</v>
      </c>
      <c r="K290" t="s">
        <v>296</v>
      </c>
      <c r="L290" t="s">
        <v>643</v>
      </c>
      <c r="M290">
        <v>2021</v>
      </c>
      <c r="N290" t="str">
        <f t="shared" si="18"/>
        <v>Undrafted</v>
      </c>
    </row>
    <row r="291" spans="1:16" x14ac:dyDescent="0.35">
      <c r="A291" t="s">
        <v>644</v>
      </c>
      <c r="B291" t="s">
        <v>645</v>
      </c>
      <c r="C291" t="str">
        <f>CONCATENATE(A291, " ",B291)</f>
        <v>Romeo Langford</v>
      </c>
      <c r="D291" t="s">
        <v>122</v>
      </c>
      <c r="E291" s="2">
        <v>45082</v>
      </c>
      <c r="F291" s="3">
        <f t="shared" si="16"/>
        <v>6</v>
      </c>
      <c r="G291" s="3">
        <f t="shared" si="19"/>
        <v>5</v>
      </c>
      <c r="H291" s="2" t="str">
        <f t="shared" si="17"/>
        <v>6' 5"</v>
      </c>
      <c r="I291">
        <v>216</v>
      </c>
      <c r="J291" s="1">
        <v>36458</v>
      </c>
      <c r="K291" t="s">
        <v>24</v>
      </c>
      <c r="L291" t="s">
        <v>65</v>
      </c>
      <c r="M291">
        <v>2019</v>
      </c>
      <c r="N291" t="str">
        <f t="shared" si="18"/>
        <v>Drafted</v>
      </c>
      <c r="O291">
        <v>1</v>
      </c>
      <c r="P291">
        <v>14</v>
      </c>
    </row>
    <row r="292" spans="1:16" x14ac:dyDescent="0.35">
      <c r="A292" t="s">
        <v>646</v>
      </c>
      <c r="B292" t="s">
        <v>647</v>
      </c>
      <c r="C292" t="str">
        <f>CONCATENATE(A292, " ",B292)</f>
        <v>A.J. Lawson</v>
      </c>
      <c r="D292" t="s">
        <v>28</v>
      </c>
      <c r="E292" s="2">
        <v>45083</v>
      </c>
      <c r="F292" s="3">
        <f t="shared" si="16"/>
        <v>6</v>
      </c>
      <c r="G292" s="3">
        <f t="shared" si="19"/>
        <v>6</v>
      </c>
      <c r="H292" s="2" t="str">
        <f t="shared" si="17"/>
        <v>6' 6"</v>
      </c>
      <c r="I292">
        <v>179</v>
      </c>
      <c r="J292" s="1">
        <v>36722</v>
      </c>
      <c r="K292" t="s">
        <v>37</v>
      </c>
      <c r="L292" t="s">
        <v>367</v>
      </c>
      <c r="M292">
        <v>2022</v>
      </c>
      <c r="N292" t="str">
        <f t="shared" si="18"/>
        <v>Undrafted</v>
      </c>
    </row>
    <row r="293" spans="1:16" x14ac:dyDescent="0.35">
      <c r="A293" t="s">
        <v>648</v>
      </c>
      <c r="B293" t="s">
        <v>649</v>
      </c>
      <c r="C293" t="str">
        <f>CONCATENATE(A293, " ",B293)</f>
        <v>Caris LeVert</v>
      </c>
      <c r="D293" t="s">
        <v>28</v>
      </c>
      <c r="E293" s="2">
        <v>45083</v>
      </c>
      <c r="F293" s="3">
        <f t="shared" si="16"/>
        <v>6</v>
      </c>
      <c r="G293" s="3">
        <f t="shared" si="19"/>
        <v>6</v>
      </c>
      <c r="H293" s="2" t="str">
        <f t="shared" si="17"/>
        <v>6' 6"</v>
      </c>
      <c r="I293">
        <v>205</v>
      </c>
      <c r="J293" s="1">
        <v>34571</v>
      </c>
      <c r="K293" t="s">
        <v>24</v>
      </c>
      <c r="L293" t="s">
        <v>337</v>
      </c>
      <c r="M293">
        <v>2016</v>
      </c>
      <c r="N293" t="str">
        <f t="shared" si="18"/>
        <v>Drafted</v>
      </c>
      <c r="O293">
        <v>1</v>
      </c>
      <c r="P293">
        <v>20</v>
      </c>
    </row>
    <row r="294" spans="1:16" x14ac:dyDescent="0.35">
      <c r="A294" t="s">
        <v>650</v>
      </c>
      <c r="B294" t="s">
        <v>651</v>
      </c>
      <c r="C294" t="str">
        <f>CONCATENATE(A294, " ",B294)</f>
        <v>Damion Lee</v>
      </c>
      <c r="D294" t="s">
        <v>122</v>
      </c>
      <c r="E294" s="2">
        <v>45082</v>
      </c>
      <c r="F294" s="3">
        <f t="shared" si="16"/>
        <v>6</v>
      </c>
      <c r="G294" s="3">
        <f t="shared" si="19"/>
        <v>5</v>
      </c>
      <c r="H294" s="2" t="str">
        <f t="shared" si="17"/>
        <v>6' 5"</v>
      </c>
      <c r="I294">
        <v>210</v>
      </c>
      <c r="J294" s="1">
        <v>33898</v>
      </c>
      <c r="K294" t="s">
        <v>24</v>
      </c>
      <c r="L294" t="s">
        <v>652</v>
      </c>
      <c r="M294">
        <v>2017</v>
      </c>
      <c r="N294" t="str">
        <f t="shared" si="18"/>
        <v>Undrafted</v>
      </c>
    </row>
    <row r="295" spans="1:16" x14ac:dyDescent="0.35">
      <c r="A295" t="s">
        <v>653</v>
      </c>
      <c r="B295" t="s">
        <v>651</v>
      </c>
      <c r="C295" t="str">
        <f>CONCATENATE(A295, " ",B295)</f>
        <v>Saben Lee</v>
      </c>
      <c r="D295" t="s">
        <v>28</v>
      </c>
      <c r="E295" s="2">
        <v>45079</v>
      </c>
      <c r="F295" s="3">
        <f t="shared" si="16"/>
        <v>6</v>
      </c>
      <c r="G295" s="3">
        <f t="shared" si="19"/>
        <v>2</v>
      </c>
      <c r="H295" s="2" t="str">
        <f t="shared" si="17"/>
        <v>6' 2"</v>
      </c>
      <c r="I295">
        <v>183</v>
      </c>
      <c r="J295" s="1">
        <v>36334</v>
      </c>
      <c r="K295" t="s">
        <v>24</v>
      </c>
      <c r="L295" t="s">
        <v>429</v>
      </c>
      <c r="M295">
        <v>2020</v>
      </c>
      <c r="N295" t="str">
        <f t="shared" si="18"/>
        <v>Drafted</v>
      </c>
      <c r="O295">
        <v>2</v>
      </c>
      <c r="P295">
        <v>38</v>
      </c>
    </row>
    <row r="296" spans="1:16" x14ac:dyDescent="0.35">
      <c r="A296" t="s">
        <v>256</v>
      </c>
      <c r="B296" t="s">
        <v>654</v>
      </c>
      <c r="C296" t="str">
        <f>CONCATENATE(A296, " ",B296)</f>
        <v>Alex Len</v>
      </c>
      <c r="D296" t="s">
        <v>18</v>
      </c>
      <c r="E296" s="2">
        <v>45109</v>
      </c>
      <c r="F296" s="3">
        <f t="shared" si="16"/>
        <v>7</v>
      </c>
      <c r="G296" s="3">
        <f t="shared" si="19"/>
        <v>2</v>
      </c>
      <c r="H296" s="2" t="str">
        <f t="shared" si="17"/>
        <v>7' 2"</v>
      </c>
      <c r="I296">
        <v>250</v>
      </c>
      <c r="J296" s="1">
        <v>34136</v>
      </c>
      <c r="K296" t="s">
        <v>655</v>
      </c>
      <c r="L296" t="s">
        <v>401</v>
      </c>
      <c r="M296">
        <v>2013</v>
      </c>
      <c r="N296" t="str">
        <f t="shared" si="18"/>
        <v>Drafted</v>
      </c>
      <c r="O296">
        <v>1</v>
      </c>
      <c r="P296">
        <v>5</v>
      </c>
    </row>
    <row r="297" spans="1:16" x14ac:dyDescent="0.35">
      <c r="A297" t="s">
        <v>656</v>
      </c>
      <c r="B297" t="s">
        <v>657</v>
      </c>
      <c r="C297" t="str">
        <f>CONCATENATE(A297, " ",B297)</f>
        <v>Kawhi Leonard</v>
      </c>
      <c r="D297" t="s">
        <v>13</v>
      </c>
      <c r="E297" s="2">
        <v>45084</v>
      </c>
      <c r="F297" s="3">
        <f t="shared" si="16"/>
        <v>6</v>
      </c>
      <c r="G297" s="3">
        <f t="shared" si="19"/>
        <v>7</v>
      </c>
      <c r="H297" s="2" t="str">
        <f t="shared" si="17"/>
        <v>6' 7"</v>
      </c>
      <c r="I297">
        <v>225</v>
      </c>
      <c r="J297" s="1">
        <v>33418</v>
      </c>
      <c r="K297" t="s">
        <v>24</v>
      </c>
      <c r="L297" t="s">
        <v>406</v>
      </c>
      <c r="M297">
        <v>2011</v>
      </c>
      <c r="N297" t="str">
        <f t="shared" si="18"/>
        <v>Drafted</v>
      </c>
      <c r="O297">
        <v>1</v>
      </c>
      <c r="P297">
        <v>15</v>
      </c>
    </row>
    <row r="298" spans="1:16" x14ac:dyDescent="0.35">
      <c r="A298" t="s">
        <v>658</v>
      </c>
      <c r="B298" t="s">
        <v>657</v>
      </c>
      <c r="C298" t="str">
        <f>CONCATENATE(A298, " ",B298)</f>
        <v>Meyers Leonard</v>
      </c>
      <c r="D298" t="s">
        <v>32</v>
      </c>
      <c r="E298" s="2">
        <v>36708</v>
      </c>
      <c r="F298" s="3">
        <f t="shared" si="16"/>
        <v>7</v>
      </c>
      <c r="G298" s="3">
        <f t="shared" si="19"/>
        <v>1</v>
      </c>
      <c r="H298" s="2" t="str">
        <f t="shared" si="17"/>
        <v>7' 1"</v>
      </c>
      <c r="I298">
        <v>260</v>
      </c>
      <c r="J298" s="1">
        <v>33661</v>
      </c>
      <c r="K298" t="s">
        <v>24</v>
      </c>
      <c r="L298" t="s">
        <v>359</v>
      </c>
      <c r="M298">
        <v>2012</v>
      </c>
      <c r="N298" t="str">
        <f t="shared" si="18"/>
        <v>Drafted</v>
      </c>
      <c r="O298">
        <v>1</v>
      </c>
      <c r="P298">
        <v>11</v>
      </c>
    </row>
    <row r="299" spans="1:16" x14ac:dyDescent="0.35">
      <c r="A299" t="s">
        <v>659</v>
      </c>
      <c r="B299" t="s">
        <v>660</v>
      </c>
      <c r="C299" t="str">
        <f>CONCATENATE(A299, " ",B299)</f>
        <v>Kira Lewis Jr.</v>
      </c>
      <c r="D299" t="s">
        <v>28</v>
      </c>
      <c r="E299" s="2">
        <v>45078</v>
      </c>
      <c r="F299" s="3">
        <f t="shared" si="16"/>
        <v>6</v>
      </c>
      <c r="G299" s="3">
        <f t="shared" si="19"/>
        <v>1</v>
      </c>
      <c r="H299" s="2" t="str">
        <f t="shared" si="17"/>
        <v>6' 1"</v>
      </c>
      <c r="I299">
        <v>170</v>
      </c>
      <c r="J299" s="1">
        <v>36987</v>
      </c>
      <c r="K299" t="s">
        <v>24</v>
      </c>
      <c r="L299" t="s">
        <v>323</v>
      </c>
      <c r="M299">
        <v>2020</v>
      </c>
      <c r="N299" t="str">
        <f t="shared" si="18"/>
        <v>Drafted</v>
      </c>
      <c r="O299">
        <v>1</v>
      </c>
      <c r="P299">
        <v>13</v>
      </c>
    </row>
    <row r="300" spans="1:16" x14ac:dyDescent="0.35">
      <c r="A300" t="s">
        <v>661</v>
      </c>
      <c r="B300" t="s">
        <v>662</v>
      </c>
      <c r="C300" t="str">
        <f>CONCATENATE(A300, " ",B300)</f>
        <v>E.J. Liddell</v>
      </c>
      <c r="D300" t="s">
        <v>13</v>
      </c>
      <c r="E300" s="2">
        <v>45083</v>
      </c>
      <c r="F300" s="3">
        <f t="shared" si="16"/>
        <v>6</v>
      </c>
      <c r="G300" s="3">
        <f t="shared" si="19"/>
        <v>6</v>
      </c>
      <c r="H300" s="2" t="str">
        <f t="shared" si="17"/>
        <v>6' 6"</v>
      </c>
      <c r="I300">
        <v>240</v>
      </c>
      <c r="J300" s="1">
        <v>36878</v>
      </c>
      <c r="K300" t="s">
        <v>24</v>
      </c>
      <c r="L300" t="s">
        <v>119</v>
      </c>
      <c r="M300">
        <v>2022</v>
      </c>
      <c r="N300" t="str">
        <f t="shared" si="18"/>
        <v>Drafted</v>
      </c>
      <c r="O300">
        <v>2</v>
      </c>
      <c r="P300">
        <v>41</v>
      </c>
    </row>
    <row r="301" spans="1:16" x14ac:dyDescent="0.35">
      <c r="A301" t="s">
        <v>589</v>
      </c>
      <c r="B301" t="s">
        <v>663</v>
      </c>
      <c r="C301" t="str">
        <f>CONCATENATE(A301, " ",B301)</f>
        <v>Damian Lillard</v>
      </c>
      <c r="D301" t="s">
        <v>28</v>
      </c>
      <c r="E301" s="2">
        <v>45079</v>
      </c>
      <c r="F301" s="3">
        <f t="shared" si="16"/>
        <v>6</v>
      </c>
      <c r="G301" s="3">
        <f t="shared" si="19"/>
        <v>2</v>
      </c>
      <c r="H301" s="2" t="str">
        <f t="shared" si="17"/>
        <v>6' 2"</v>
      </c>
      <c r="I301">
        <v>195</v>
      </c>
      <c r="J301" s="1">
        <v>33069</v>
      </c>
      <c r="K301" t="s">
        <v>24</v>
      </c>
      <c r="L301" t="s">
        <v>664</v>
      </c>
      <c r="M301">
        <v>2012</v>
      </c>
      <c r="N301" t="str">
        <f t="shared" si="18"/>
        <v>Drafted</v>
      </c>
      <c r="O301">
        <v>1</v>
      </c>
      <c r="P301">
        <v>6</v>
      </c>
    </row>
    <row r="302" spans="1:16" x14ac:dyDescent="0.35">
      <c r="A302" t="s">
        <v>665</v>
      </c>
      <c r="B302" t="s">
        <v>666</v>
      </c>
      <c r="C302" t="str">
        <f>CONCATENATE(A302, " ",B302)</f>
        <v>Nassir Little</v>
      </c>
      <c r="D302" t="s">
        <v>49</v>
      </c>
      <c r="E302" s="2">
        <v>45082</v>
      </c>
      <c r="F302" s="3">
        <f t="shared" si="16"/>
        <v>6</v>
      </c>
      <c r="G302" s="3">
        <f t="shared" si="19"/>
        <v>5</v>
      </c>
      <c r="H302" s="2" t="str">
        <f t="shared" si="17"/>
        <v>6' 5"</v>
      </c>
      <c r="I302">
        <v>220</v>
      </c>
      <c r="J302" s="1">
        <v>36567</v>
      </c>
      <c r="K302" t="s">
        <v>24</v>
      </c>
      <c r="L302" t="s">
        <v>61</v>
      </c>
      <c r="M302">
        <v>2019</v>
      </c>
      <c r="N302" t="str">
        <f t="shared" si="18"/>
        <v>Drafted</v>
      </c>
      <c r="O302">
        <v>1</v>
      </c>
      <c r="P302">
        <v>25</v>
      </c>
    </row>
    <row r="303" spans="1:16" x14ac:dyDescent="0.35">
      <c r="A303" t="s">
        <v>505</v>
      </c>
      <c r="B303" t="s">
        <v>667</v>
      </c>
      <c r="C303" t="str">
        <f>CONCATENATE(A303, " ",B303)</f>
        <v>Isaiah Livers</v>
      </c>
      <c r="D303" t="s">
        <v>13</v>
      </c>
      <c r="E303" s="2">
        <v>45083</v>
      </c>
      <c r="F303" s="3">
        <f t="shared" si="16"/>
        <v>6</v>
      </c>
      <c r="G303" s="3">
        <f t="shared" si="19"/>
        <v>6</v>
      </c>
      <c r="H303" s="2" t="str">
        <f t="shared" si="17"/>
        <v>6' 6"</v>
      </c>
      <c r="I303">
        <v>232</v>
      </c>
      <c r="J303" s="1">
        <v>36004</v>
      </c>
      <c r="K303" t="s">
        <v>24</v>
      </c>
      <c r="L303" t="s">
        <v>337</v>
      </c>
      <c r="M303">
        <v>2021</v>
      </c>
      <c r="N303" t="str">
        <f t="shared" si="18"/>
        <v>Drafted</v>
      </c>
      <c r="O303">
        <v>2</v>
      </c>
      <c r="P303">
        <v>42</v>
      </c>
    </row>
    <row r="304" spans="1:16" x14ac:dyDescent="0.35">
      <c r="A304" t="s">
        <v>668</v>
      </c>
      <c r="B304" t="s">
        <v>669</v>
      </c>
      <c r="C304" t="str">
        <f>CONCATENATE(A304, " ",B304)</f>
        <v>Kenneth Lofton Jr.</v>
      </c>
      <c r="D304" t="s">
        <v>13</v>
      </c>
      <c r="E304" s="2">
        <v>45083</v>
      </c>
      <c r="F304" s="3">
        <f t="shared" si="16"/>
        <v>6</v>
      </c>
      <c r="G304" s="3">
        <f t="shared" si="19"/>
        <v>6</v>
      </c>
      <c r="H304" s="2" t="str">
        <f t="shared" si="17"/>
        <v>6' 6"</v>
      </c>
      <c r="I304">
        <v>275</v>
      </c>
      <c r="J304" s="1">
        <v>37482</v>
      </c>
      <c r="K304" t="s">
        <v>24</v>
      </c>
      <c r="L304" t="s">
        <v>670</v>
      </c>
      <c r="M304">
        <v>2022</v>
      </c>
      <c r="N304" t="str">
        <f t="shared" si="18"/>
        <v>Undrafted</v>
      </c>
    </row>
    <row r="305" spans="1:16" x14ac:dyDescent="0.35">
      <c r="A305" t="s">
        <v>499</v>
      </c>
      <c r="B305" t="s">
        <v>671</v>
      </c>
      <c r="C305" t="str">
        <f>CONCATENATE(A305, " ",B305)</f>
        <v>Kevon Looney</v>
      </c>
      <c r="D305" t="s">
        <v>13</v>
      </c>
      <c r="E305" s="2">
        <v>45086</v>
      </c>
      <c r="F305" s="3">
        <f t="shared" si="16"/>
        <v>6</v>
      </c>
      <c r="G305" s="3">
        <f t="shared" si="19"/>
        <v>9</v>
      </c>
      <c r="H305" s="2" t="str">
        <f t="shared" si="17"/>
        <v>6' 9"</v>
      </c>
      <c r="I305">
        <v>222</v>
      </c>
      <c r="J305" s="1">
        <v>35101</v>
      </c>
      <c r="K305" t="s">
        <v>24</v>
      </c>
      <c r="L305" t="s">
        <v>50</v>
      </c>
      <c r="M305">
        <v>2015</v>
      </c>
      <c r="N305" t="str">
        <f t="shared" si="18"/>
        <v>Drafted</v>
      </c>
      <c r="O305">
        <v>1</v>
      </c>
      <c r="P305">
        <v>30</v>
      </c>
    </row>
    <row r="306" spans="1:16" x14ac:dyDescent="0.35">
      <c r="A306" t="s">
        <v>672</v>
      </c>
      <c r="B306" t="s">
        <v>673</v>
      </c>
      <c r="C306" t="str">
        <f>CONCATENATE(A306, " ",B306)</f>
        <v>Brook Lopez</v>
      </c>
      <c r="D306" t="s">
        <v>18</v>
      </c>
      <c r="E306" s="2">
        <v>45108</v>
      </c>
      <c r="F306" s="3">
        <f t="shared" si="16"/>
        <v>7</v>
      </c>
      <c r="G306" s="3">
        <f t="shared" si="19"/>
        <v>1</v>
      </c>
      <c r="H306" s="2" t="str">
        <f t="shared" si="17"/>
        <v>7' 1"</v>
      </c>
      <c r="I306">
        <v>282</v>
      </c>
      <c r="J306" s="1">
        <v>32234</v>
      </c>
      <c r="K306" t="s">
        <v>24</v>
      </c>
      <c r="L306" t="s">
        <v>674</v>
      </c>
      <c r="M306">
        <v>2008</v>
      </c>
      <c r="N306" t="str">
        <f t="shared" si="18"/>
        <v>Drafted</v>
      </c>
      <c r="O306">
        <v>1</v>
      </c>
      <c r="P306">
        <v>10</v>
      </c>
    </row>
    <row r="307" spans="1:16" x14ac:dyDescent="0.35">
      <c r="A307" t="s">
        <v>675</v>
      </c>
      <c r="B307" t="s">
        <v>673</v>
      </c>
      <c r="C307" t="str">
        <f>CONCATENATE(A307, " ",B307)</f>
        <v>Robin Lopez</v>
      </c>
      <c r="D307" t="s">
        <v>18</v>
      </c>
      <c r="E307" s="2">
        <v>36708</v>
      </c>
      <c r="F307" s="3">
        <f t="shared" si="16"/>
        <v>7</v>
      </c>
      <c r="G307" s="3">
        <f t="shared" si="19"/>
        <v>1</v>
      </c>
      <c r="H307" s="2" t="str">
        <f t="shared" si="17"/>
        <v>7' 1"</v>
      </c>
      <c r="I307">
        <v>281</v>
      </c>
      <c r="J307" s="1">
        <v>32234</v>
      </c>
      <c r="K307" t="s">
        <v>24</v>
      </c>
      <c r="L307" t="s">
        <v>674</v>
      </c>
      <c r="M307">
        <v>2008</v>
      </c>
      <c r="N307" t="str">
        <f t="shared" si="18"/>
        <v>Drafted</v>
      </c>
      <c r="O307">
        <v>1</v>
      </c>
      <c r="P307">
        <v>15</v>
      </c>
    </row>
    <row r="308" spans="1:16" x14ac:dyDescent="0.35">
      <c r="A308" t="s">
        <v>380</v>
      </c>
      <c r="B308" t="s">
        <v>676</v>
      </c>
      <c r="C308" t="str">
        <f>CONCATENATE(A308, " ",B308)</f>
        <v>Kevin Love</v>
      </c>
      <c r="D308" t="s">
        <v>32</v>
      </c>
      <c r="E308" s="2">
        <v>45085</v>
      </c>
      <c r="F308" s="3">
        <f t="shared" si="16"/>
        <v>6</v>
      </c>
      <c r="G308" s="3">
        <f t="shared" si="19"/>
        <v>8</v>
      </c>
      <c r="H308" s="2" t="str">
        <f t="shared" si="17"/>
        <v>6' 8"</v>
      </c>
      <c r="I308">
        <v>251</v>
      </c>
      <c r="J308" s="1">
        <v>32393</v>
      </c>
      <c r="K308" t="s">
        <v>24</v>
      </c>
      <c r="L308" t="s">
        <v>50</v>
      </c>
      <c r="M308">
        <v>2008</v>
      </c>
      <c r="N308" t="str">
        <f t="shared" si="18"/>
        <v>Drafted</v>
      </c>
      <c r="O308">
        <v>1</v>
      </c>
      <c r="P308">
        <v>5</v>
      </c>
    </row>
    <row r="309" spans="1:16" x14ac:dyDescent="0.35">
      <c r="A309" t="s">
        <v>47</v>
      </c>
      <c r="B309" t="s">
        <v>677</v>
      </c>
      <c r="C309" t="str">
        <f>CONCATENATE(A309, " ",B309)</f>
        <v>Kyle Lowry</v>
      </c>
      <c r="D309" t="s">
        <v>28</v>
      </c>
      <c r="E309" s="2">
        <v>36678</v>
      </c>
      <c r="F309" s="3">
        <f t="shared" si="16"/>
        <v>6</v>
      </c>
      <c r="G309" s="3">
        <f t="shared" si="19"/>
        <v>1</v>
      </c>
      <c r="H309" s="2" t="str">
        <f t="shared" si="17"/>
        <v>6' 1"</v>
      </c>
      <c r="I309">
        <v>196</v>
      </c>
      <c r="J309" s="1">
        <v>31496</v>
      </c>
      <c r="K309" t="s">
        <v>24</v>
      </c>
      <c r="L309" t="s">
        <v>68</v>
      </c>
      <c r="M309">
        <v>2006</v>
      </c>
      <c r="N309" t="str">
        <f t="shared" si="18"/>
        <v>Drafted</v>
      </c>
      <c r="O309">
        <v>1</v>
      </c>
      <c r="P309">
        <v>24</v>
      </c>
    </row>
    <row r="310" spans="1:16" x14ac:dyDescent="0.35">
      <c r="A310" t="s">
        <v>678</v>
      </c>
      <c r="B310" t="s">
        <v>679</v>
      </c>
      <c r="C310" t="str">
        <f>CONCATENATE(A310, " ",B310)</f>
        <v>Trey Lyles</v>
      </c>
      <c r="D310" t="s">
        <v>13</v>
      </c>
      <c r="E310" s="2">
        <v>45086</v>
      </c>
      <c r="F310" s="3">
        <f t="shared" si="16"/>
        <v>6</v>
      </c>
      <c r="G310" s="3">
        <f t="shared" si="19"/>
        <v>9</v>
      </c>
      <c r="H310" s="2" t="str">
        <f t="shared" si="17"/>
        <v>6' 9"</v>
      </c>
      <c r="I310">
        <v>234</v>
      </c>
      <c r="J310" s="1">
        <v>35008</v>
      </c>
      <c r="K310" t="s">
        <v>37</v>
      </c>
      <c r="L310" t="s">
        <v>25</v>
      </c>
      <c r="M310">
        <v>2015</v>
      </c>
      <c r="N310" t="str">
        <f t="shared" si="18"/>
        <v>Drafted</v>
      </c>
      <c r="O310">
        <v>1</v>
      </c>
      <c r="P310">
        <v>12</v>
      </c>
    </row>
    <row r="311" spans="1:16" x14ac:dyDescent="0.35">
      <c r="A311" t="s">
        <v>680</v>
      </c>
      <c r="B311" t="s">
        <v>681</v>
      </c>
      <c r="C311" t="str">
        <f>CONCATENATE(A311, " ",B311)</f>
        <v>Theo Maledon</v>
      </c>
      <c r="D311" t="s">
        <v>28</v>
      </c>
      <c r="E311" s="2">
        <v>45082</v>
      </c>
      <c r="F311" s="3">
        <f t="shared" si="16"/>
        <v>6</v>
      </c>
      <c r="G311" s="3">
        <f t="shared" si="19"/>
        <v>5</v>
      </c>
      <c r="H311" s="2" t="str">
        <f t="shared" si="17"/>
        <v>6' 5"</v>
      </c>
      <c r="I311">
        <v>175</v>
      </c>
      <c r="J311" s="1">
        <v>37054</v>
      </c>
      <c r="K311" t="s">
        <v>123</v>
      </c>
      <c r="L311" t="s">
        <v>682</v>
      </c>
      <c r="M311">
        <v>2020</v>
      </c>
      <c r="N311" t="str">
        <f t="shared" si="18"/>
        <v>Drafted</v>
      </c>
      <c r="O311">
        <v>2</v>
      </c>
      <c r="P311">
        <v>34</v>
      </c>
    </row>
    <row r="312" spans="1:16" x14ac:dyDescent="0.35">
      <c r="A312" t="s">
        <v>683</v>
      </c>
      <c r="B312" t="s">
        <v>684</v>
      </c>
      <c r="C312" t="str">
        <f>CONCATENATE(A312, " ",B312)</f>
        <v>Sandro Mamukelashvili</v>
      </c>
      <c r="D312" t="s">
        <v>32</v>
      </c>
      <c r="E312" s="2">
        <v>45087</v>
      </c>
      <c r="F312" s="3">
        <f t="shared" si="16"/>
        <v>6</v>
      </c>
      <c r="G312" s="3">
        <f t="shared" si="19"/>
        <v>10</v>
      </c>
      <c r="H312" s="2" t="str">
        <f t="shared" si="17"/>
        <v>6' 10"</v>
      </c>
      <c r="I312">
        <v>240</v>
      </c>
      <c r="J312" s="1">
        <v>36303</v>
      </c>
      <c r="K312" t="s">
        <v>149</v>
      </c>
      <c r="L312" t="s">
        <v>685</v>
      </c>
      <c r="M312">
        <v>2021</v>
      </c>
      <c r="N312" t="str">
        <f t="shared" si="18"/>
        <v>Drafted</v>
      </c>
      <c r="O312">
        <v>2</v>
      </c>
      <c r="P312">
        <v>54</v>
      </c>
    </row>
    <row r="313" spans="1:16" x14ac:dyDescent="0.35">
      <c r="A313" t="s">
        <v>686</v>
      </c>
      <c r="B313" t="s">
        <v>687</v>
      </c>
      <c r="C313" t="str">
        <f>CONCATENATE(A313, " ",B313)</f>
        <v>Terance Mann</v>
      </c>
      <c r="D313" t="s">
        <v>122</v>
      </c>
      <c r="E313" s="2">
        <v>45082</v>
      </c>
      <c r="F313" s="3">
        <f t="shared" si="16"/>
        <v>6</v>
      </c>
      <c r="G313" s="3">
        <f t="shared" si="19"/>
        <v>5</v>
      </c>
      <c r="H313" s="2" t="str">
        <f t="shared" si="17"/>
        <v>6' 5"</v>
      </c>
      <c r="I313">
        <v>215</v>
      </c>
      <c r="J313" s="1">
        <v>35356</v>
      </c>
      <c r="K313" t="s">
        <v>24</v>
      </c>
      <c r="L313" t="s">
        <v>109</v>
      </c>
      <c r="M313">
        <v>2019</v>
      </c>
      <c r="N313" t="str">
        <f t="shared" si="18"/>
        <v>Drafted</v>
      </c>
      <c r="O313">
        <v>2</v>
      </c>
      <c r="P313">
        <v>48</v>
      </c>
    </row>
    <row r="314" spans="1:16" x14ac:dyDescent="0.35">
      <c r="A314" t="s">
        <v>592</v>
      </c>
      <c r="B314" t="s">
        <v>687</v>
      </c>
      <c r="C314" t="str">
        <f>CONCATENATE(A314, " ",B314)</f>
        <v>Tre Mann</v>
      </c>
      <c r="D314" t="s">
        <v>28</v>
      </c>
      <c r="E314" s="2">
        <v>45080</v>
      </c>
      <c r="F314" s="3">
        <f t="shared" si="16"/>
        <v>6</v>
      </c>
      <c r="G314" s="3">
        <f t="shared" si="19"/>
        <v>3</v>
      </c>
      <c r="H314" s="2" t="str">
        <f t="shared" si="17"/>
        <v>6' 3"</v>
      </c>
      <c r="I314">
        <v>178</v>
      </c>
      <c r="J314" s="1">
        <v>36925</v>
      </c>
      <c r="K314" t="s">
        <v>24</v>
      </c>
      <c r="L314" t="s">
        <v>130</v>
      </c>
      <c r="M314">
        <v>2021</v>
      </c>
      <c r="N314" t="str">
        <f t="shared" si="18"/>
        <v>Drafted</v>
      </c>
      <c r="O314">
        <v>1</v>
      </c>
      <c r="P314">
        <v>18</v>
      </c>
    </row>
    <row r="315" spans="1:16" x14ac:dyDescent="0.35">
      <c r="A315" t="s">
        <v>688</v>
      </c>
      <c r="B315" t="s">
        <v>689</v>
      </c>
      <c r="C315" t="str">
        <f>CONCATENATE(A315, " ",B315)</f>
        <v>Boban Marjanovic</v>
      </c>
      <c r="D315" t="s">
        <v>18</v>
      </c>
      <c r="E315" s="2">
        <v>45111</v>
      </c>
      <c r="F315" s="3">
        <f t="shared" si="16"/>
        <v>7</v>
      </c>
      <c r="G315" s="3">
        <f t="shared" si="19"/>
        <v>4</v>
      </c>
      <c r="H315" s="2" t="str">
        <f t="shared" si="17"/>
        <v>7' 4"</v>
      </c>
      <c r="I315">
        <v>290</v>
      </c>
      <c r="J315" s="1">
        <v>32370</v>
      </c>
      <c r="K315" t="s">
        <v>160</v>
      </c>
      <c r="M315">
        <v>2015</v>
      </c>
      <c r="N315" t="str">
        <f t="shared" si="18"/>
        <v>Undrafted</v>
      </c>
    </row>
    <row r="316" spans="1:16" x14ac:dyDescent="0.35">
      <c r="A316" t="s">
        <v>690</v>
      </c>
      <c r="B316" t="s">
        <v>691</v>
      </c>
      <c r="C316" t="str">
        <f>CONCATENATE(A316, " ",B316)</f>
        <v>Lauri Markkanen</v>
      </c>
      <c r="D316" t="s">
        <v>32</v>
      </c>
      <c r="E316" s="2">
        <v>36708</v>
      </c>
      <c r="F316" s="3">
        <f t="shared" si="16"/>
        <v>7</v>
      </c>
      <c r="G316" s="3">
        <f t="shared" si="19"/>
        <v>1</v>
      </c>
      <c r="H316" s="2" t="str">
        <f t="shared" si="17"/>
        <v>7' 1"</v>
      </c>
      <c r="I316">
        <v>240</v>
      </c>
      <c r="J316" s="1">
        <v>35572</v>
      </c>
      <c r="K316" t="s">
        <v>692</v>
      </c>
      <c r="L316" t="s">
        <v>79</v>
      </c>
      <c r="M316">
        <v>2017</v>
      </c>
      <c r="N316" t="str">
        <f t="shared" si="18"/>
        <v>Drafted</v>
      </c>
      <c r="O316">
        <v>1</v>
      </c>
      <c r="P316">
        <v>7</v>
      </c>
    </row>
    <row r="317" spans="1:16" x14ac:dyDescent="0.35">
      <c r="A317" t="s">
        <v>693</v>
      </c>
      <c r="B317" t="s">
        <v>694</v>
      </c>
      <c r="C317" t="str">
        <f>CONCATENATE(A317, " ",B317)</f>
        <v>Naji Marshall</v>
      </c>
      <c r="D317" t="s">
        <v>13</v>
      </c>
      <c r="E317" s="2">
        <v>45084</v>
      </c>
      <c r="F317" s="3">
        <f t="shared" si="16"/>
        <v>6</v>
      </c>
      <c r="G317" s="3">
        <f t="shared" si="19"/>
        <v>7</v>
      </c>
      <c r="H317" s="2" t="str">
        <f t="shared" si="17"/>
        <v>6' 7"</v>
      </c>
      <c r="I317">
        <v>220</v>
      </c>
      <c r="J317" s="1">
        <v>35819</v>
      </c>
      <c r="K317" t="s">
        <v>24</v>
      </c>
      <c r="L317" t="s">
        <v>294</v>
      </c>
      <c r="M317">
        <v>2020</v>
      </c>
      <c r="N317" t="str">
        <f t="shared" si="18"/>
        <v>Undrafted</v>
      </c>
    </row>
    <row r="318" spans="1:16" x14ac:dyDescent="0.35">
      <c r="A318" t="s">
        <v>540</v>
      </c>
      <c r="B318" t="s">
        <v>695</v>
      </c>
      <c r="C318" t="str">
        <f>CONCATENATE(A318, " ",B318)</f>
        <v>Caleb Martin</v>
      </c>
      <c r="D318" t="s">
        <v>13</v>
      </c>
      <c r="E318" s="2">
        <v>45082</v>
      </c>
      <c r="F318" s="3">
        <f t="shared" si="16"/>
        <v>6</v>
      </c>
      <c r="G318" s="3">
        <f t="shared" si="19"/>
        <v>5</v>
      </c>
      <c r="H318" s="2" t="str">
        <f t="shared" si="17"/>
        <v>6' 5"</v>
      </c>
      <c r="I318">
        <v>205</v>
      </c>
      <c r="J318" s="1">
        <v>34970</v>
      </c>
      <c r="K318" t="s">
        <v>24</v>
      </c>
      <c r="L318" t="s">
        <v>696</v>
      </c>
      <c r="M318">
        <v>2019</v>
      </c>
      <c r="N318" t="str">
        <f t="shared" si="18"/>
        <v>Undrafted</v>
      </c>
    </row>
    <row r="319" spans="1:16" x14ac:dyDescent="0.35">
      <c r="A319" t="s">
        <v>697</v>
      </c>
      <c r="B319" t="s">
        <v>695</v>
      </c>
      <c r="C319" t="str">
        <f>CONCATENATE(A319, " ",B319)</f>
        <v>Cody Martin</v>
      </c>
      <c r="D319" t="s">
        <v>13</v>
      </c>
      <c r="E319" s="2">
        <v>45083</v>
      </c>
      <c r="F319" s="3">
        <f t="shared" si="16"/>
        <v>6</v>
      </c>
      <c r="G319" s="3">
        <f t="shared" si="19"/>
        <v>6</v>
      </c>
      <c r="H319" s="2" t="str">
        <f t="shared" si="17"/>
        <v>6' 6"</v>
      </c>
      <c r="I319">
        <v>205</v>
      </c>
      <c r="J319" s="1">
        <v>34970</v>
      </c>
      <c r="K319" t="s">
        <v>24</v>
      </c>
      <c r="L319" t="s">
        <v>696</v>
      </c>
      <c r="M319">
        <v>2019</v>
      </c>
      <c r="N319" t="str">
        <f t="shared" si="18"/>
        <v>Drafted</v>
      </c>
      <c r="O319">
        <v>2</v>
      </c>
      <c r="P319">
        <v>36</v>
      </c>
    </row>
    <row r="320" spans="1:16" x14ac:dyDescent="0.35">
      <c r="A320" t="s">
        <v>480</v>
      </c>
      <c r="B320" t="s">
        <v>695</v>
      </c>
      <c r="C320" t="str">
        <f>CONCATENATE(A320, " ",B320)</f>
        <v>Tyrese Martin</v>
      </c>
      <c r="D320" t="s">
        <v>28</v>
      </c>
      <c r="E320" s="2">
        <v>45083</v>
      </c>
      <c r="F320" s="3">
        <f t="shared" si="16"/>
        <v>6</v>
      </c>
      <c r="G320" s="3">
        <f t="shared" si="19"/>
        <v>6</v>
      </c>
      <c r="H320" s="2" t="str">
        <f t="shared" si="17"/>
        <v>6' 6"</v>
      </c>
      <c r="I320">
        <v>215</v>
      </c>
      <c r="J320" s="1">
        <v>36226</v>
      </c>
      <c r="K320" t="s">
        <v>24</v>
      </c>
      <c r="L320" t="s">
        <v>179</v>
      </c>
      <c r="M320">
        <v>2022</v>
      </c>
      <c r="N320" t="str">
        <f t="shared" si="18"/>
        <v>Drafted</v>
      </c>
      <c r="O320">
        <v>2</v>
      </c>
      <c r="P320">
        <v>51</v>
      </c>
    </row>
    <row r="321" spans="1:16" x14ac:dyDescent="0.35">
      <c r="A321" t="s">
        <v>698</v>
      </c>
      <c r="B321" t="s">
        <v>699</v>
      </c>
      <c r="C321" t="str">
        <f>CONCATENATE(A321, " ",B321)</f>
        <v>Kenyon Martin Jr.</v>
      </c>
      <c r="D321" t="s">
        <v>13</v>
      </c>
      <c r="E321" s="2">
        <v>45084</v>
      </c>
      <c r="F321" s="3">
        <f t="shared" si="16"/>
        <v>6</v>
      </c>
      <c r="G321" s="3">
        <f t="shared" si="19"/>
        <v>7</v>
      </c>
      <c r="H321" s="2" t="str">
        <f t="shared" si="17"/>
        <v>6' 7"</v>
      </c>
      <c r="I321">
        <v>215</v>
      </c>
      <c r="J321" s="1">
        <v>36897</v>
      </c>
      <c r="K321" t="s">
        <v>24</v>
      </c>
      <c r="L321" t="s">
        <v>700</v>
      </c>
      <c r="M321">
        <v>2020</v>
      </c>
      <c r="N321" t="str">
        <f t="shared" si="18"/>
        <v>Drafted</v>
      </c>
      <c r="O321">
        <v>2</v>
      </c>
      <c r="P321">
        <v>52</v>
      </c>
    </row>
    <row r="322" spans="1:16" x14ac:dyDescent="0.35">
      <c r="A322" t="s">
        <v>701</v>
      </c>
      <c r="B322" t="s">
        <v>702</v>
      </c>
      <c r="C322" t="str">
        <f>CONCATENATE(A322, " ",B322)</f>
        <v>Garrison Mathews</v>
      </c>
      <c r="D322" t="s">
        <v>28</v>
      </c>
      <c r="E322" s="2">
        <v>45083</v>
      </c>
      <c r="F322" s="3">
        <f t="shared" si="16"/>
        <v>6</v>
      </c>
      <c r="G322" s="3">
        <f t="shared" si="19"/>
        <v>6</v>
      </c>
      <c r="H322" s="2" t="str">
        <f t="shared" si="17"/>
        <v>6' 6"</v>
      </c>
      <c r="I322">
        <v>215</v>
      </c>
      <c r="J322" s="1">
        <v>35362</v>
      </c>
      <c r="K322" t="s">
        <v>24</v>
      </c>
      <c r="L322" t="s">
        <v>703</v>
      </c>
      <c r="M322">
        <v>2019</v>
      </c>
      <c r="N322" t="str">
        <f t="shared" si="18"/>
        <v>Undrafted</v>
      </c>
    </row>
    <row r="323" spans="1:16" x14ac:dyDescent="0.35">
      <c r="A323" t="s">
        <v>704</v>
      </c>
      <c r="B323" t="s">
        <v>705</v>
      </c>
      <c r="C323" t="str">
        <f>CONCATENATE(A323, " ",B323)</f>
        <v>Bennedict Mathurin</v>
      </c>
      <c r="D323" t="s">
        <v>122</v>
      </c>
      <c r="E323" s="2">
        <v>45082</v>
      </c>
      <c r="F323" s="3">
        <f t="shared" ref="F323:F386" si="20">MONTH(E323)</f>
        <v>6</v>
      </c>
      <c r="G323" s="3">
        <f t="shared" si="19"/>
        <v>5</v>
      </c>
      <c r="H323" s="2" t="str">
        <f t="shared" ref="H323:H386" si="21">CONCATENATE(F323,"' ",G323,"""")</f>
        <v>6' 5"</v>
      </c>
      <c r="I323">
        <v>210</v>
      </c>
      <c r="J323" s="1">
        <v>37426</v>
      </c>
      <c r="K323" t="s">
        <v>37</v>
      </c>
      <c r="L323" t="s">
        <v>79</v>
      </c>
      <c r="M323">
        <v>2022</v>
      </c>
      <c r="N323" t="str">
        <f t="shared" ref="N323:N386" si="22">IF(O323 &gt; 0,"Drafted","Undrafted")</f>
        <v>Drafted</v>
      </c>
      <c r="O323">
        <v>1</v>
      </c>
      <c r="P323">
        <v>6</v>
      </c>
    </row>
    <row r="324" spans="1:16" x14ac:dyDescent="0.35">
      <c r="A324" t="s">
        <v>706</v>
      </c>
      <c r="B324" t="s">
        <v>707</v>
      </c>
      <c r="C324" t="str">
        <f>CONCATENATE(A324, " ",B324)</f>
        <v>Wesley Matthews</v>
      </c>
      <c r="D324" t="s">
        <v>28</v>
      </c>
      <c r="E324" s="2">
        <v>45082</v>
      </c>
      <c r="F324" s="3">
        <f t="shared" si="20"/>
        <v>6</v>
      </c>
      <c r="G324" s="3">
        <f t="shared" ref="G324:G387" si="23">DAY(E324)</f>
        <v>5</v>
      </c>
      <c r="H324" s="2" t="str">
        <f t="shared" si="21"/>
        <v>6' 5"</v>
      </c>
      <c r="I324">
        <v>220</v>
      </c>
      <c r="J324" s="1">
        <v>31699</v>
      </c>
      <c r="K324" t="s">
        <v>24</v>
      </c>
      <c r="L324" t="s">
        <v>229</v>
      </c>
      <c r="M324">
        <v>2009</v>
      </c>
      <c r="N324" t="str">
        <f t="shared" si="22"/>
        <v>Undrafted</v>
      </c>
    </row>
    <row r="325" spans="1:16" x14ac:dyDescent="0.35">
      <c r="A325" t="s">
        <v>480</v>
      </c>
      <c r="B325" t="s">
        <v>708</v>
      </c>
      <c r="C325" t="str">
        <f>CONCATENATE(A325, " ",B325)</f>
        <v>Tyrese Maxey</v>
      </c>
      <c r="D325" t="s">
        <v>28</v>
      </c>
      <c r="E325" s="2">
        <v>45079</v>
      </c>
      <c r="F325" s="3">
        <f t="shared" si="20"/>
        <v>6</v>
      </c>
      <c r="G325" s="3">
        <f t="shared" si="23"/>
        <v>2</v>
      </c>
      <c r="H325" s="2" t="str">
        <f t="shared" si="21"/>
        <v>6' 2"</v>
      </c>
      <c r="I325">
        <v>200</v>
      </c>
      <c r="J325" s="1">
        <v>36834</v>
      </c>
      <c r="K325" t="s">
        <v>24</v>
      </c>
      <c r="L325" t="s">
        <v>25</v>
      </c>
      <c r="M325">
        <v>2020</v>
      </c>
      <c r="N325" t="str">
        <f t="shared" si="22"/>
        <v>Drafted</v>
      </c>
      <c r="O325">
        <v>1</v>
      </c>
      <c r="P325">
        <v>21</v>
      </c>
    </row>
    <row r="326" spans="1:16" x14ac:dyDescent="0.35">
      <c r="A326" t="s">
        <v>709</v>
      </c>
      <c r="B326" t="s">
        <v>710</v>
      </c>
      <c r="C326" t="str">
        <f>CONCATENATE(A326, " ",B326)</f>
        <v>Skylar Mays</v>
      </c>
      <c r="D326" t="s">
        <v>28</v>
      </c>
      <c r="E326" s="2">
        <v>45081</v>
      </c>
      <c r="F326" s="3">
        <f t="shared" si="20"/>
        <v>6</v>
      </c>
      <c r="G326" s="3">
        <f t="shared" si="23"/>
        <v>4</v>
      </c>
      <c r="H326" s="2" t="str">
        <f t="shared" si="21"/>
        <v>6' 4"</v>
      </c>
      <c r="I326">
        <v>205</v>
      </c>
      <c r="J326" s="1">
        <v>35678</v>
      </c>
      <c r="K326" t="s">
        <v>24</v>
      </c>
      <c r="L326" t="s">
        <v>325</v>
      </c>
      <c r="M326">
        <v>2020</v>
      </c>
      <c r="N326" t="str">
        <f t="shared" si="22"/>
        <v>Drafted</v>
      </c>
      <c r="O326">
        <v>2</v>
      </c>
      <c r="P326">
        <v>50</v>
      </c>
    </row>
    <row r="327" spans="1:16" x14ac:dyDescent="0.35">
      <c r="A327" t="s">
        <v>711</v>
      </c>
      <c r="B327" t="s">
        <v>712</v>
      </c>
      <c r="C327" t="str">
        <f>CONCATENATE(A327, " ",B327)</f>
        <v>Miles McBride</v>
      </c>
      <c r="D327" t="s">
        <v>28</v>
      </c>
      <c r="E327" s="2">
        <v>45079</v>
      </c>
      <c r="F327" s="3">
        <f t="shared" si="20"/>
        <v>6</v>
      </c>
      <c r="G327" s="3">
        <f t="shared" si="23"/>
        <v>2</v>
      </c>
      <c r="H327" s="2" t="str">
        <f t="shared" si="21"/>
        <v>6' 2"</v>
      </c>
      <c r="I327">
        <v>195</v>
      </c>
      <c r="J327" s="1">
        <v>36777</v>
      </c>
      <c r="K327" t="s">
        <v>24</v>
      </c>
      <c r="L327" t="s">
        <v>251</v>
      </c>
      <c r="M327">
        <v>2021</v>
      </c>
      <c r="N327" t="str">
        <f t="shared" si="22"/>
        <v>Drafted</v>
      </c>
      <c r="O327">
        <v>2</v>
      </c>
      <c r="P327">
        <v>36</v>
      </c>
    </row>
    <row r="328" spans="1:16" x14ac:dyDescent="0.35">
      <c r="A328" t="s">
        <v>713</v>
      </c>
      <c r="B328" t="s">
        <v>714</v>
      </c>
      <c r="C328" t="str">
        <f>CONCATENATE(A328, " ",B328)</f>
        <v>Mac McClung</v>
      </c>
      <c r="D328" t="s">
        <v>28</v>
      </c>
      <c r="E328" s="2">
        <v>45079</v>
      </c>
      <c r="F328" s="3">
        <f t="shared" si="20"/>
        <v>6</v>
      </c>
      <c r="G328" s="3">
        <f t="shared" si="23"/>
        <v>2</v>
      </c>
      <c r="H328" s="2" t="str">
        <f t="shared" si="21"/>
        <v>6' 2"</v>
      </c>
      <c r="I328">
        <v>185</v>
      </c>
      <c r="J328" s="1">
        <v>36166</v>
      </c>
      <c r="K328" t="s">
        <v>24</v>
      </c>
      <c r="L328" t="s">
        <v>307</v>
      </c>
      <c r="M328">
        <v>2021</v>
      </c>
      <c r="N328" t="str">
        <f t="shared" si="22"/>
        <v>Undrafted</v>
      </c>
    </row>
    <row r="329" spans="1:16" x14ac:dyDescent="0.35">
      <c r="A329" t="s">
        <v>715</v>
      </c>
      <c r="B329" t="s">
        <v>716</v>
      </c>
      <c r="C329" t="str">
        <f>CONCATENATE(A329, " ",B329)</f>
        <v>CJ McCollum</v>
      </c>
      <c r="D329" t="s">
        <v>28</v>
      </c>
      <c r="E329" s="2">
        <v>45080</v>
      </c>
      <c r="F329" s="3">
        <f t="shared" si="20"/>
        <v>6</v>
      </c>
      <c r="G329" s="3">
        <f t="shared" si="23"/>
        <v>3</v>
      </c>
      <c r="H329" s="2" t="str">
        <f t="shared" si="21"/>
        <v>6' 3"</v>
      </c>
      <c r="I329">
        <v>190</v>
      </c>
      <c r="J329" s="1">
        <v>33500</v>
      </c>
      <c r="K329" t="s">
        <v>24</v>
      </c>
      <c r="L329" t="s">
        <v>717</v>
      </c>
      <c r="M329">
        <v>2013</v>
      </c>
      <c r="N329" t="str">
        <f t="shared" si="22"/>
        <v>Drafted</v>
      </c>
      <c r="O329">
        <v>1</v>
      </c>
      <c r="P329">
        <v>10</v>
      </c>
    </row>
    <row r="330" spans="1:16" x14ac:dyDescent="0.35">
      <c r="A330" t="s">
        <v>718</v>
      </c>
      <c r="B330" t="s">
        <v>719</v>
      </c>
      <c r="C330" t="str">
        <f>CONCATENATE(A330, " ",B330)</f>
        <v>T.J. McConnell</v>
      </c>
      <c r="D330" t="s">
        <v>28</v>
      </c>
      <c r="E330" s="2">
        <v>45078</v>
      </c>
      <c r="F330" s="3">
        <f t="shared" si="20"/>
        <v>6</v>
      </c>
      <c r="G330" s="3">
        <f t="shared" si="23"/>
        <v>1</v>
      </c>
      <c r="H330" s="2" t="str">
        <f t="shared" si="21"/>
        <v>6' 1"</v>
      </c>
      <c r="I330">
        <v>190</v>
      </c>
      <c r="J330" s="1">
        <v>33688</v>
      </c>
      <c r="K330" t="s">
        <v>24</v>
      </c>
      <c r="L330" t="s">
        <v>79</v>
      </c>
      <c r="M330">
        <v>2015</v>
      </c>
      <c r="N330" t="str">
        <f t="shared" si="22"/>
        <v>Undrafted</v>
      </c>
      <c r="O330">
        <v>0</v>
      </c>
    </row>
    <row r="331" spans="1:16" x14ac:dyDescent="0.35">
      <c r="A331" t="s">
        <v>489</v>
      </c>
      <c r="B331" t="s">
        <v>720</v>
      </c>
      <c r="C331" t="str">
        <f>CONCATENATE(A331, " ",B331)</f>
        <v>Jaden McDaniels</v>
      </c>
      <c r="D331" t="s">
        <v>13</v>
      </c>
      <c r="E331" s="2">
        <v>45086</v>
      </c>
      <c r="F331" s="3">
        <f t="shared" si="20"/>
        <v>6</v>
      </c>
      <c r="G331" s="3">
        <f t="shared" si="23"/>
        <v>9</v>
      </c>
      <c r="H331" s="2" t="str">
        <f t="shared" si="21"/>
        <v>6' 9"</v>
      </c>
      <c r="I331">
        <v>185</v>
      </c>
      <c r="J331" s="1">
        <v>36798</v>
      </c>
      <c r="K331" t="s">
        <v>24</v>
      </c>
      <c r="L331" t="s">
        <v>422</v>
      </c>
      <c r="M331">
        <v>2020</v>
      </c>
      <c r="N331" t="str">
        <f t="shared" si="22"/>
        <v>Drafted</v>
      </c>
      <c r="O331">
        <v>1</v>
      </c>
      <c r="P331">
        <v>28</v>
      </c>
    </row>
    <row r="332" spans="1:16" x14ac:dyDescent="0.35">
      <c r="A332" t="s">
        <v>214</v>
      </c>
      <c r="B332" t="s">
        <v>720</v>
      </c>
      <c r="C332" t="str">
        <f>CONCATENATE(A332, " ",B332)</f>
        <v>Jalen McDaniels</v>
      </c>
      <c r="D332" t="s">
        <v>32</v>
      </c>
      <c r="E332" s="2">
        <v>45086</v>
      </c>
      <c r="F332" s="3">
        <f t="shared" si="20"/>
        <v>6</v>
      </c>
      <c r="G332" s="3">
        <f t="shared" si="23"/>
        <v>9</v>
      </c>
      <c r="H332" s="2" t="str">
        <f t="shared" si="21"/>
        <v>6' 9"</v>
      </c>
      <c r="I332">
        <v>205</v>
      </c>
      <c r="J332" s="1">
        <v>35826</v>
      </c>
      <c r="K332" t="s">
        <v>24</v>
      </c>
      <c r="L332" t="s">
        <v>406</v>
      </c>
      <c r="M332">
        <v>2019</v>
      </c>
      <c r="N332" t="str">
        <f t="shared" si="22"/>
        <v>Drafted</v>
      </c>
      <c r="O332">
        <v>2</v>
      </c>
      <c r="P332">
        <v>52</v>
      </c>
    </row>
    <row r="333" spans="1:16" x14ac:dyDescent="0.35">
      <c r="A333" t="s">
        <v>721</v>
      </c>
      <c r="B333" t="s">
        <v>722</v>
      </c>
      <c r="C333" t="str">
        <f>CONCATENATE(A333, " ",B333)</f>
        <v>Doug McDermott</v>
      </c>
      <c r="D333" t="s">
        <v>13</v>
      </c>
      <c r="E333" s="2">
        <v>45083</v>
      </c>
      <c r="F333" s="3">
        <f t="shared" si="20"/>
        <v>6</v>
      </c>
      <c r="G333" s="3">
        <f t="shared" si="23"/>
        <v>6</v>
      </c>
      <c r="H333" s="2" t="str">
        <f t="shared" si="21"/>
        <v>6' 6"</v>
      </c>
      <c r="I333">
        <v>225</v>
      </c>
      <c r="J333" s="1">
        <v>33606</v>
      </c>
      <c r="K333" t="s">
        <v>24</v>
      </c>
      <c r="L333" t="s">
        <v>723</v>
      </c>
      <c r="M333">
        <v>2014</v>
      </c>
      <c r="N333" t="str">
        <f t="shared" si="22"/>
        <v>Drafted</v>
      </c>
      <c r="O333">
        <v>1</v>
      </c>
      <c r="P333">
        <v>11</v>
      </c>
    </row>
    <row r="334" spans="1:16" x14ac:dyDescent="0.35">
      <c r="A334" t="s">
        <v>724</v>
      </c>
      <c r="B334" t="s">
        <v>725</v>
      </c>
      <c r="C334" t="str">
        <f>CONCATENATE(A334, " ",B334)</f>
        <v>JaVale McGee</v>
      </c>
      <c r="D334" t="s">
        <v>23</v>
      </c>
      <c r="E334" s="2">
        <v>36708</v>
      </c>
      <c r="F334" s="3">
        <f t="shared" si="20"/>
        <v>7</v>
      </c>
      <c r="G334" s="3">
        <f t="shared" si="23"/>
        <v>1</v>
      </c>
      <c r="H334" s="2" t="str">
        <f t="shared" si="21"/>
        <v>7' 1"</v>
      </c>
      <c r="I334">
        <v>270</v>
      </c>
      <c r="J334" s="1">
        <v>32161</v>
      </c>
      <c r="K334" t="s">
        <v>24</v>
      </c>
      <c r="L334" t="s">
        <v>696</v>
      </c>
      <c r="M334">
        <v>2008</v>
      </c>
      <c r="N334" t="str">
        <f t="shared" si="22"/>
        <v>Drafted</v>
      </c>
      <c r="O334">
        <v>1</v>
      </c>
      <c r="P334">
        <v>18</v>
      </c>
    </row>
    <row r="335" spans="1:16" x14ac:dyDescent="0.35">
      <c r="A335" t="s">
        <v>726</v>
      </c>
      <c r="B335" t="s">
        <v>727</v>
      </c>
      <c r="C335" t="str">
        <f>CONCATENATE(A335, " ",B335)</f>
        <v>Bryce McGowens</v>
      </c>
      <c r="D335" t="s">
        <v>28</v>
      </c>
      <c r="E335" s="2">
        <v>45083</v>
      </c>
      <c r="F335" s="3">
        <f t="shared" si="20"/>
        <v>6</v>
      </c>
      <c r="G335" s="3">
        <f t="shared" si="23"/>
        <v>6</v>
      </c>
      <c r="H335" s="2" t="str">
        <f t="shared" si="21"/>
        <v>6' 6"</v>
      </c>
      <c r="I335">
        <v>175</v>
      </c>
      <c r="J335" s="1">
        <v>37568</v>
      </c>
      <c r="K335" t="s">
        <v>24</v>
      </c>
      <c r="L335" t="s">
        <v>103</v>
      </c>
      <c r="M335">
        <v>2022</v>
      </c>
      <c r="N335" t="str">
        <f t="shared" si="22"/>
        <v>Drafted</v>
      </c>
      <c r="O335">
        <v>2</v>
      </c>
      <c r="P335">
        <v>40</v>
      </c>
    </row>
    <row r="336" spans="1:16" x14ac:dyDescent="0.35">
      <c r="A336" t="s">
        <v>728</v>
      </c>
      <c r="B336" t="s">
        <v>729</v>
      </c>
      <c r="C336" t="str">
        <f>CONCATENATE(A336, " ",B336)</f>
        <v>Rodney McGruder</v>
      </c>
      <c r="D336" t="s">
        <v>28</v>
      </c>
      <c r="E336" s="2">
        <v>45081</v>
      </c>
      <c r="F336" s="3">
        <f t="shared" si="20"/>
        <v>6</v>
      </c>
      <c r="G336" s="3">
        <f t="shared" si="23"/>
        <v>4</v>
      </c>
      <c r="H336" s="2" t="str">
        <f t="shared" si="21"/>
        <v>6' 4"</v>
      </c>
      <c r="I336">
        <v>205</v>
      </c>
      <c r="J336" s="1">
        <v>33448</v>
      </c>
      <c r="K336" t="s">
        <v>24</v>
      </c>
      <c r="L336" t="s">
        <v>730</v>
      </c>
      <c r="M336">
        <v>2016</v>
      </c>
      <c r="N336" t="str">
        <f t="shared" si="22"/>
        <v>Undrafted</v>
      </c>
    </row>
    <row r="337" spans="1:16" x14ac:dyDescent="0.35">
      <c r="A337" t="s">
        <v>276</v>
      </c>
      <c r="B337" t="s">
        <v>731</v>
      </c>
      <c r="C337" t="str">
        <f>CONCATENATE(A337, " ",B337)</f>
        <v>Jordan McLaughlin</v>
      </c>
      <c r="D337" t="s">
        <v>28</v>
      </c>
      <c r="E337" s="2">
        <v>36678</v>
      </c>
      <c r="F337" s="3">
        <f t="shared" si="20"/>
        <v>6</v>
      </c>
      <c r="G337" s="3">
        <f t="shared" si="23"/>
        <v>1</v>
      </c>
      <c r="H337" s="2" t="str">
        <f t="shared" si="21"/>
        <v>6' 1"</v>
      </c>
      <c r="I337">
        <v>185</v>
      </c>
      <c r="J337" s="1">
        <v>35164</v>
      </c>
      <c r="K337" t="s">
        <v>24</v>
      </c>
      <c r="L337" t="s">
        <v>328</v>
      </c>
      <c r="M337">
        <v>2019</v>
      </c>
      <c r="N337" t="str">
        <f t="shared" si="22"/>
        <v>Undrafted</v>
      </c>
    </row>
    <row r="338" spans="1:16" x14ac:dyDescent="0.35">
      <c r="A338" t="s">
        <v>732</v>
      </c>
      <c r="B338" t="s">
        <v>733</v>
      </c>
      <c r="C338" t="str">
        <f>CONCATENATE(A338, " ",B338)</f>
        <v>De'Anthony Melton</v>
      </c>
      <c r="D338" t="s">
        <v>28</v>
      </c>
      <c r="E338" s="2">
        <v>45079</v>
      </c>
      <c r="F338" s="3">
        <f t="shared" si="20"/>
        <v>6</v>
      </c>
      <c r="G338" s="3">
        <f t="shared" si="23"/>
        <v>2</v>
      </c>
      <c r="H338" s="2" t="str">
        <f t="shared" si="21"/>
        <v>6' 2"</v>
      </c>
      <c r="I338">
        <v>200</v>
      </c>
      <c r="J338" s="1">
        <v>35943</v>
      </c>
      <c r="K338" t="s">
        <v>24</v>
      </c>
      <c r="L338" t="s">
        <v>328</v>
      </c>
      <c r="M338">
        <v>2018</v>
      </c>
      <c r="N338" t="str">
        <f t="shared" si="22"/>
        <v>Drafted</v>
      </c>
      <c r="O338">
        <v>2</v>
      </c>
      <c r="P338">
        <v>46</v>
      </c>
    </row>
    <row r="339" spans="1:16" x14ac:dyDescent="0.35">
      <c r="A339" t="s">
        <v>511</v>
      </c>
      <c r="B339" t="s">
        <v>734</v>
      </c>
      <c r="C339" t="str">
        <f>CONCATENATE(A339, " ",B339)</f>
        <v>Sam Merrill</v>
      </c>
      <c r="D339" t="s">
        <v>28</v>
      </c>
      <c r="E339" s="2">
        <v>45081</v>
      </c>
      <c r="F339" s="3">
        <f t="shared" si="20"/>
        <v>6</v>
      </c>
      <c r="G339" s="3">
        <f t="shared" si="23"/>
        <v>4</v>
      </c>
      <c r="H339" s="2" t="str">
        <f t="shared" si="21"/>
        <v>6' 4"</v>
      </c>
      <c r="I339">
        <v>205</v>
      </c>
      <c r="J339" s="1">
        <v>35200</v>
      </c>
      <c r="K339" t="s">
        <v>24</v>
      </c>
      <c r="L339" t="s">
        <v>735</v>
      </c>
      <c r="M339">
        <v>2020</v>
      </c>
      <c r="N339" t="str">
        <f t="shared" si="22"/>
        <v>Drafted</v>
      </c>
      <c r="O339">
        <v>2</v>
      </c>
      <c r="P339">
        <v>60</v>
      </c>
    </row>
    <row r="340" spans="1:16" x14ac:dyDescent="0.35">
      <c r="A340" t="s">
        <v>736</v>
      </c>
      <c r="B340" t="s">
        <v>737</v>
      </c>
      <c r="C340" t="str">
        <f>CONCATENATE(A340, " ",B340)</f>
        <v>Chimezie Metu</v>
      </c>
      <c r="D340" t="s">
        <v>32</v>
      </c>
      <c r="E340" s="2">
        <v>45086</v>
      </c>
      <c r="F340" s="3">
        <f t="shared" si="20"/>
        <v>6</v>
      </c>
      <c r="G340" s="3">
        <f t="shared" si="23"/>
        <v>9</v>
      </c>
      <c r="H340" s="2" t="str">
        <f t="shared" si="21"/>
        <v>6' 9"</v>
      </c>
      <c r="I340">
        <v>225</v>
      </c>
      <c r="J340" s="1">
        <v>35511</v>
      </c>
      <c r="K340" t="s">
        <v>24</v>
      </c>
      <c r="L340" t="s">
        <v>328</v>
      </c>
      <c r="M340">
        <v>2018</v>
      </c>
      <c r="N340" t="str">
        <f t="shared" si="22"/>
        <v>Drafted</v>
      </c>
      <c r="O340">
        <v>2</v>
      </c>
      <c r="P340">
        <v>49</v>
      </c>
    </row>
    <row r="341" spans="1:16" x14ac:dyDescent="0.35">
      <c r="A341" t="s">
        <v>738</v>
      </c>
      <c r="B341" t="s">
        <v>739</v>
      </c>
      <c r="C341" t="str">
        <f>CONCATENATE(A341, " ",B341)</f>
        <v>Khris Middleton</v>
      </c>
      <c r="D341" t="s">
        <v>13</v>
      </c>
      <c r="E341" s="2">
        <v>45084</v>
      </c>
      <c r="F341" s="3">
        <f t="shared" si="20"/>
        <v>6</v>
      </c>
      <c r="G341" s="3">
        <f t="shared" si="23"/>
        <v>7</v>
      </c>
      <c r="H341" s="2" t="str">
        <f t="shared" si="21"/>
        <v>6' 7"</v>
      </c>
      <c r="I341">
        <v>222</v>
      </c>
      <c r="J341" s="1">
        <v>33462</v>
      </c>
      <c r="K341" t="s">
        <v>24</v>
      </c>
      <c r="L341" t="s">
        <v>258</v>
      </c>
      <c r="M341">
        <v>2012</v>
      </c>
      <c r="N341" t="str">
        <f t="shared" si="22"/>
        <v>Drafted</v>
      </c>
      <c r="O341">
        <v>2</v>
      </c>
      <c r="P341">
        <v>39</v>
      </c>
    </row>
    <row r="342" spans="1:16" x14ac:dyDescent="0.35">
      <c r="A342" t="s">
        <v>740</v>
      </c>
      <c r="B342" t="s">
        <v>741</v>
      </c>
      <c r="C342" t="str">
        <f>CONCATENATE(A342, " ",B342)</f>
        <v>Patty Mills</v>
      </c>
      <c r="D342" t="s">
        <v>28</v>
      </c>
      <c r="E342" s="2">
        <v>36678</v>
      </c>
      <c r="F342" s="3">
        <f t="shared" si="20"/>
        <v>6</v>
      </c>
      <c r="G342" s="3">
        <f t="shared" si="23"/>
        <v>1</v>
      </c>
      <c r="H342" s="2" t="str">
        <f t="shared" si="21"/>
        <v>6' 1"</v>
      </c>
      <c r="I342">
        <v>180</v>
      </c>
      <c r="J342" s="1">
        <v>32366</v>
      </c>
      <c r="K342" t="s">
        <v>296</v>
      </c>
      <c r="L342" t="s">
        <v>643</v>
      </c>
      <c r="M342">
        <v>2009</v>
      </c>
      <c r="N342" t="str">
        <f t="shared" si="22"/>
        <v>Drafted</v>
      </c>
      <c r="O342">
        <v>2</v>
      </c>
      <c r="P342">
        <v>55</v>
      </c>
    </row>
    <row r="343" spans="1:16" x14ac:dyDescent="0.35">
      <c r="A343" t="s">
        <v>742</v>
      </c>
      <c r="B343" t="s">
        <v>743</v>
      </c>
      <c r="C343" t="str">
        <f>CONCATENATE(A343, " ",B343)</f>
        <v>Shake Milton</v>
      </c>
      <c r="D343" t="s">
        <v>122</v>
      </c>
      <c r="E343" s="2">
        <v>45082</v>
      </c>
      <c r="F343" s="3">
        <f t="shared" si="20"/>
        <v>6</v>
      </c>
      <c r="G343" s="3">
        <f t="shared" si="23"/>
        <v>5</v>
      </c>
      <c r="H343" s="2" t="str">
        <f t="shared" si="21"/>
        <v>6' 5"</v>
      </c>
      <c r="I343">
        <v>205</v>
      </c>
      <c r="J343" s="1">
        <v>35334</v>
      </c>
      <c r="K343" t="s">
        <v>24</v>
      </c>
      <c r="L343" t="s">
        <v>209</v>
      </c>
      <c r="M343">
        <v>2018</v>
      </c>
      <c r="N343" t="str">
        <f t="shared" si="22"/>
        <v>Drafted</v>
      </c>
      <c r="O343">
        <v>2</v>
      </c>
      <c r="P343">
        <v>54</v>
      </c>
    </row>
    <row r="344" spans="1:16" x14ac:dyDescent="0.35">
      <c r="A344" t="s">
        <v>264</v>
      </c>
      <c r="B344" t="s">
        <v>744</v>
      </c>
      <c r="C344" t="str">
        <f>CONCATENATE(A344, " ",B344)</f>
        <v>Justin Minaya</v>
      </c>
      <c r="D344" t="s">
        <v>13</v>
      </c>
      <c r="E344" s="2">
        <v>45084</v>
      </c>
      <c r="F344" s="3">
        <f t="shared" si="20"/>
        <v>6</v>
      </c>
      <c r="G344" s="3">
        <f t="shared" si="23"/>
        <v>7</v>
      </c>
      <c r="H344" s="2" t="str">
        <f t="shared" si="21"/>
        <v>6' 7"</v>
      </c>
      <c r="I344">
        <v>210</v>
      </c>
      <c r="J344" s="1">
        <v>36245</v>
      </c>
      <c r="K344" t="s">
        <v>24</v>
      </c>
      <c r="L344" t="s">
        <v>377</v>
      </c>
      <c r="M344">
        <v>2022</v>
      </c>
      <c r="N344" t="str">
        <f t="shared" si="22"/>
        <v>Undrafted</v>
      </c>
    </row>
    <row r="345" spans="1:16" x14ac:dyDescent="0.35">
      <c r="A345" t="s">
        <v>271</v>
      </c>
      <c r="B345" t="s">
        <v>745</v>
      </c>
      <c r="C345" t="str">
        <f>CONCATENATE(A345, " ",B345)</f>
        <v>Josh Minott</v>
      </c>
      <c r="D345" t="s">
        <v>13</v>
      </c>
      <c r="E345" s="2">
        <v>45085</v>
      </c>
      <c r="F345" s="3">
        <f t="shared" si="20"/>
        <v>6</v>
      </c>
      <c r="G345" s="3">
        <f t="shared" si="23"/>
        <v>8</v>
      </c>
      <c r="H345" s="2" t="str">
        <f t="shared" si="21"/>
        <v>6' 8"</v>
      </c>
      <c r="I345">
        <v>205</v>
      </c>
      <c r="J345" s="1">
        <v>37585</v>
      </c>
      <c r="K345" t="s">
        <v>24</v>
      </c>
      <c r="L345" t="s">
        <v>15</v>
      </c>
      <c r="M345">
        <v>2022</v>
      </c>
      <c r="N345" t="str">
        <f t="shared" si="22"/>
        <v>Drafted</v>
      </c>
      <c r="O345">
        <v>2</v>
      </c>
      <c r="P345">
        <v>45</v>
      </c>
    </row>
    <row r="346" spans="1:16" x14ac:dyDescent="0.35">
      <c r="A346" t="s">
        <v>746</v>
      </c>
      <c r="B346" t="s">
        <v>747</v>
      </c>
      <c r="C346" t="str">
        <f>CONCATENATE(A346, " ",B346)</f>
        <v>Davion Mitchell</v>
      </c>
      <c r="D346" t="s">
        <v>28</v>
      </c>
      <c r="E346" s="2">
        <v>36678</v>
      </c>
      <c r="F346" s="3">
        <f t="shared" si="20"/>
        <v>6</v>
      </c>
      <c r="G346" s="3">
        <f t="shared" si="23"/>
        <v>1</v>
      </c>
      <c r="H346" s="2" t="str">
        <f t="shared" si="21"/>
        <v>6' 1"</v>
      </c>
      <c r="I346">
        <v>202</v>
      </c>
      <c r="J346" s="1">
        <v>36043</v>
      </c>
      <c r="K346" t="s">
        <v>24</v>
      </c>
      <c r="L346" t="s">
        <v>206</v>
      </c>
      <c r="M346">
        <v>2021</v>
      </c>
      <c r="N346" t="str">
        <f t="shared" si="22"/>
        <v>Drafted</v>
      </c>
      <c r="O346">
        <v>1</v>
      </c>
      <c r="P346">
        <v>9</v>
      </c>
    </row>
    <row r="347" spans="1:16" x14ac:dyDescent="0.35">
      <c r="A347" t="s">
        <v>748</v>
      </c>
      <c r="B347" t="s">
        <v>747</v>
      </c>
      <c r="C347" t="str">
        <f>CONCATENATE(A347, " ",B347)</f>
        <v>Donovan Mitchell</v>
      </c>
      <c r="D347" t="s">
        <v>28</v>
      </c>
      <c r="E347" s="2">
        <v>45078</v>
      </c>
      <c r="F347" s="3">
        <f t="shared" si="20"/>
        <v>6</v>
      </c>
      <c r="G347" s="3">
        <f t="shared" si="23"/>
        <v>1</v>
      </c>
      <c r="H347" s="2" t="str">
        <f t="shared" si="21"/>
        <v>6' 1"</v>
      </c>
      <c r="I347">
        <v>215</v>
      </c>
      <c r="J347" s="1">
        <v>35315</v>
      </c>
      <c r="K347" t="s">
        <v>24</v>
      </c>
      <c r="L347" t="s">
        <v>345</v>
      </c>
      <c r="M347">
        <v>2017</v>
      </c>
      <c r="N347" t="str">
        <f t="shared" si="22"/>
        <v>Drafted</v>
      </c>
      <c r="O347">
        <v>1</v>
      </c>
      <c r="P347">
        <v>13</v>
      </c>
    </row>
    <row r="348" spans="1:16" x14ac:dyDescent="0.35">
      <c r="A348" t="s">
        <v>415</v>
      </c>
      <c r="B348" t="s">
        <v>749</v>
      </c>
      <c r="C348" t="str">
        <f>CONCATENATE(A348, " ",B348)</f>
        <v>Evan Mobley</v>
      </c>
      <c r="D348" t="s">
        <v>18</v>
      </c>
      <c r="E348" s="2">
        <v>45088</v>
      </c>
      <c r="F348" s="3">
        <f t="shared" si="20"/>
        <v>6</v>
      </c>
      <c r="G348" s="3">
        <f t="shared" si="23"/>
        <v>11</v>
      </c>
      <c r="H348" s="2" t="str">
        <f t="shared" si="21"/>
        <v>6' 11"</v>
      </c>
      <c r="I348">
        <v>215</v>
      </c>
      <c r="J348" s="1">
        <v>37060</v>
      </c>
      <c r="K348" t="s">
        <v>24</v>
      </c>
      <c r="L348" t="s">
        <v>328</v>
      </c>
      <c r="M348">
        <v>2021</v>
      </c>
      <c r="N348" t="str">
        <f t="shared" si="22"/>
        <v>Drafted</v>
      </c>
      <c r="O348">
        <v>1</v>
      </c>
      <c r="P348">
        <v>3</v>
      </c>
    </row>
    <row r="349" spans="1:16" x14ac:dyDescent="0.35">
      <c r="A349" t="s">
        <v>505</v>
      </c>
      <c r="B349" t="s">
        <v>749</v>
      </c>
      <c r="C349" t="str">
        <f>CONCATENATE(A349, " ",B349)</f>
        <v>Isaiah Mobley</v>
      </c>
      <c r="D349" t="s">
        <v>13</v>
      </c>
      <c r="E349" s="2">
        <v>45085</v>
      </c>
      <c r="F349" s="3">
        <f t="shared" si="20"/>
        <v>6</v>
      </c>
      <c r="G349" s="3">
        <f t="shared" si="23"/>
        <v>8</v>
      </c>
      <c r="H349" s="2" t="str">
        <f t="shared" si="21"/>
        <v>6' 8"</v>
      </c>
      <c r="I349">
        <v>238</v>
      </c>
      <c r="J349" s="1">
        <v>36427</v>
      </c>
      <c r="K349" t="s">
        <v>24</v>
      </c>
      <c r="L349" t="s">
        <v>328</v>
      </c>
      <c r="M349">
        <v>2022</v>
      </c>
      <c r="N349" t="str">
        <f t="shared" si="22"/>
        <v>Drafted</v>
      </c>
      <c r="O349">
        <v>2</v>
      </c>
      <c r="P349">
        <v>49</v>
      </c>
    </row>
    <row r="350" spans="1:16" x14ac:dyDescent="0.35">
      <c r="A350" t="s">
        <v>750</v>
      </c>
      <c r="B350" t="s">
        <v>751</v>
      </c>
      <c r="C350" t="str">
        <f>CONCATENATE(A350, " ",B350)</f>
        <v>Chima Moneke</v>
      </c>
      <c r="D350" t="s">
        <v>13</v>
      </c>
      <c r="E350" s="2">
        <v>45082</v>
      </c>
      <c r="F350" s="3">
        <f t="shared" si="20"/>
        <v>6</v>
      </c>
      <c r="G350" s="3">
        <f t="shared" si="23"/>
        <v>5</v>
      </c>
      <c r="H350" s="2" t="str">
        <f t="shared" si="21"/>
        <v>6' 5"</v>
      </c>
      <c r="I350">
        <v>223</v>
      </c>
      <c r="J350" s="1">
        <v>35057</v>
      </c>
      <c r="K350" t="s">
        <v>14</v>
      </c>
      <c r="L350" t="s">
        <v>752</v>
      </c>
      <c r="M350">
        <v>2022</v>
      </c>
      <c r="N350" t="str">
        <f t="shared" si="22"/>
        <v>Undrafted</v>
      </c>
    </row>
    <row r="351" spans="1:16" x14ac:dyDescent="0.35">
      <c r="A351" t="s">
        <v>131</v>
      </c>
      <c r="B351" t="s">
        <v>753</v>
      </c>
      <c r="C351" t="str">
        <f>CONCATENATE(A351, " ",B351)</f>
        <v>Malik Monk</v>
      </c>
      <c r="D351" t="s">
        <v>28</v>
      </c>
      <c r="E351" s="2">
        <v>45080</v>
      </c>
      <c r="F351" s="3">
        <f t="shared" si="20"/>
        <v>6</v>
      </c>
      <c r="G351" s="3">
        <f t="shared" si="23"/>
        <v>3</v>
      </c>
      <c r="H351" s="2" t="str">
        <f t="shared" si="21"/>
        <v>6' 3"</v>
      </c>
      <c r="I351">
        <v>200</v>
      </c>
      <c r="J351" s="1">
        <v>35830</v>
      </c>
      <c r="K351" t="s">
        <v>24</v>
      </c>
      <c r="L351" t="s">
        <v>25</v>
      </c>
      <c r="M351">
        <v>2017</v>
      </c>
      <c r="N351" t="str">
        <f t="shared" si="22"/>
        <v>Drafted</v>
      </c>
      <c r="O351">
        <v>1</v>
      </c>
      <c r="P351">
        <v>11</v>
      </c>
    </row>
    <row r="352" spans="1:16" x14ac:dyDescent="0.35">
      <c r="A352" t="s">
        <v>207</v>
      </c>
      <c r="B352" t="s">
        <v>754</v>
      </c>
      <c r="C352" t="str">
        <f>CONCATENATE(A352, " ",B352)</f>
        <v>Moses Moody</v>
      </c>
      <c r="D352" t="s">
        <v>28</v>
      </c>
      <c r="E352" s="2">
        <v>45082</v>
      </c>
      <c r="F352" s="3">
        <f t="shared" si="20"/>
        <v>6</v>
      </c>
      <c r="G352" s="3">
        <f t="shared" si="23"/>
        <v>5</v>
      </c>
      <c r="H352" s="2" t="str">
        <f t="shared" si="21"/>
        <v>6' 5"</v>
      </c>
      <c r="I352">
        <v>211</v>
      </c>
      <c r="J352" s="1">
        <v>37407</v>
      </c>
      <c r="K352" t="s">
        <v>24</v>
      </c>
      <c r="L352" t="s">
        <v>141</v>
      </c>
      <c r="M352">
        <v>2021</v>
      </c>
      <c r="N352" t="str">
        <f t="shared" si="22"/>
        <v>Drafted</v>
      </c>
      <c r="O352">
        <v>1</v>
      </c>
      <c r="P352">
        <v>14</v>
      </c>
    </row>
    <row r="353" spans="1:16" x14ac:dyDescent="0.35">
      <c r="A353" t="s">
        <v>294</v>
      </c>
      <c r="B353" t="s">
        <v>755</v>
      </c>
      <c r="C353" t="str">
        <f>CONCATENATE(A353, " ",B353)</f>
        <v>Xavier Moon</v>
      </c>
      <c r="D353" t="s">
        <v>28</v>
      </c>
      <c r="E353" s="2">
        <v>36678</v>
      </c>
      <c r="F353" s="3">
        <f t="shared" si="20"/>
        <v>6</v>
      </c>
      <c r="G353" s="3">
        <f t="shared" si="23"/>
        <v>1</v>
      </c>
      <c r="H353" s="2" t="str">
        <f t="shared" si="21"/>
        <v>6' 1"</v>
      </c>
      <c r="I353">
        <v>165</v>
      </c>
      <c r="J353" s="1">
        <v>34701</v>
      </c>
      <c r="K353" t="s">
        <v>24</v>
      </c>
      <c r="L353" t="s">
        <v>756</v>
      </c>
      <c r="M353">
        <v>2021</v>
      </c>
      <c r="N353" t="str">
        <f t="shared" si="22"/>
        <v>Undrafted</v>
      </c>
    </row>
    <row r="354" spans="1:16" x14ac:dyDescent="0.35">
      <c r="A354" t="s">
        <v>252</v>
      </c>
      <c r="B354" t="s">
        <v>757</v>
      </c>
      <c r="C354" t="str">
        <f>CONCATENATE(A354, " ",B354)</f>
        <v>Wendell Moore Jr.</v>
      </c>
      <c r="D354" t="s">
        <v>28</v>
      </c>
      <c r="E354" s="2">
        <v>45082</v>
      </c>
      <c r="F354" s="3">
        <f t="shared" si="20"/>
        <v>6</v>
      </c>
      <c r="G354" s="3">
        <f t="shared" si="23"/>
        <v>5</v>
      </c>
      <c r="H354" s="2" t="str">
        <f t="shared" si="21"/>
        <v>6' 5"</v>
      </c>
      <c r="I354">
        <v>215</v>
      </c>
      <c r="J354" s="1">
        <v>37152</v>
      </c>
      <c r="K354" t="s">
        <v>24</v>
      </c>
      <c r="L354" t="s">
        <v>41</v>
      </c>
      <c r="M354">
        <v>2022</v>
      </c>
      <c r="N354" t="str">
        <f t="shared" si="22"/>
        <v>Drafted</v>
      </c>
      <c r="O354">
        <v>1</v>
      </c>
      <c r="P354">
        <v>26</v>
      </c>
    </row>
    <row r="355" spans="1:16" x14ac:dyDescent="0.35">
      <c r="A355" t="s">
        <v>758</v>
      </c>
      <c r="B355" t="s">
        <v>759</v>
      </c>
      <c r="C355" t="str">
        <f>CONCATENATE(A355, " ",B355)</f>
        <v>Ja Morant</v>
      </c>
      <c r="D355" t="s">
        <v>28</v>
      </c>
      <c r="E355" s="2">
        <v>45079</v>
      </c>
      <c r="F355" s="3">
        <f t="shared" si="20"/>
        <v>6</v>
      </c>
      <c r="G355" s="3">
        <f t="shared" si="23"/>
        <v>2</v>
      </c>
      <c r="H355" s="2" t="str">
        <f t="shared" si="21"/>
        <v>6' 2"</v>
      </c>
      <c r="I355">
        <v>174</v>
      </c>
      <c r="J355" s="1">
        <v>36382</v>
      </c>
      <c r="K355" t="s">
        <v>24</v>
      </c>
      <c r="L355" t="s">
        <v>760</v>
      </c>
      <c r="M355">
        <v>2019</v>
      </c>
      <c r="N355" t="str">
        <f t="shared" si="22"/>
        <v>Drafted</v>
      </c>
      <c r="O355">
        <v>1</v>
      </c>
      <c r="P355">
        <v>2</v>
      </c>
    </row>
    <row r="356" spans="1:16" x14ac:dyDescent="0.35">
      <c r="A356" t="s">
        <v>761</v>
      </c>
      <c r="B356" t="s">
        <v>762</v>
      </c>
      <c r="C356" t="str">
        <f>CONCATENATE(A356, " ",B356)</f>
        <v>Markieff Morris</v>
      </c>
      <c r="D356" t="s">
        <v>13</v>
      </c>
      <c r="E356" s="2">
        <v>45086</v>
      </c>
      <c r="F356" s="3">
        <f t="shared" si="20"/>
        <v>6</v>
      </c>
      <c r="G356" s="3">
        <f t="shared" si="23"/>
        <v>9</v>
      </c>
      <c r="H356" s="2" t="str">
        <f t="shared" si="21"/>
        <v>6' 9"</v>
      </c>
      <c r="I356">
        <v>245</v>
      </c>
      <c r="J356" s="1">
        <v>32753</v>
      </c>
      <c r="K356" t="s">
        <v>24</v>
      </c>
      <c r="L356" t="s">
        <v>29</v>
      </c>
      <c r="M356">
        <v>2011</v>
      </c>
      <c r="N356" t="str">
        <f t="shared" si="22"/>
        <v>Drafted</v>
      </c>
      <c r="O356">
        <v>1</v>
      </c>
      <c r="P356">
        <v>13</v>
      </c>
    </row>
    <row r="357" spans="1:16" x14ac:dyDescent="0.35">
      <c r="A357" t="s">
        <v>763</v>
      </c>
      <c r="B357" t="s">
        <v>762</v>
      </c>
      <c r="C357" t="str">
        <f>CONCATENATE(A357, " ",B357)</f>
        <v>Monte Morris</v>
      </c>
      <c r="D357" t="s">
        <v>28</v>
      </c>
      <c r="E357" s="2">
        <v>45079</v>
      </c>
      <c r="F357" s="3">
        <f t="shared" si="20"/>
        <v>6</v>
      </c>
      <c r="G357" s="3">
        <f t="shared" si="23"/>
        <v>2</v>
      </c>
      <c r="H357" s="2" t="str">
        <f t="shared" si="21"/>
        <v>6' 2"</v>
      </c>
      <c r="I357">
        <v>183</v>
      </c>
      <c r="J357" s="1">
        <v>34877</v>
      </c>
      <c r="K357" t="s">
        <v>24</v>
      </c>
      <c r="L357" t="s">
        <v>225</v>
      </c>
      <c r="M357">
        <v>2017</v>
      </c>
      <c r="N357" t="str">
        <f t="shared" si="22"/>
        <v>Drafted</v>
      </c>
      <c r="O357">
        <v>2</v>
      </c>
      <c r="P357">
        <v>51</v>
      </c>
    </row>
    <row r="358" spans="1:16" x14ac:dyDescent="0.35">
      <c r="A358" t="s">
        <v>764</v>
      </c>
      <c r="B358" t="s">
        <v>765</v>
      </c>
      <c r="C358" t="str">
        <f>CONCATENATE(A358, " ",B358)</f>
        <v>Marcus Morris Sr.</v>
      </c>
      <c r="D358" t="s">
        <v>13</v>
      </c>
      <c r="E358" s="2">
        <v>45085</v>
      </c>
      <c r="F358" s="3">
        <f t="shared" si="20"/>
        <v>6</v>
      </c>
      <c r="G358" s="3">
        <f t="shared" si="23"/>
        <v>8</v>
      </c>
      <c r="H358" s="2" t="str">
        <f t="shared" si="21"/>
        <v>6' 8"</v>
      </c>
      <c r="I358">
        <v>218</v>
      </c>
      <c r="J358" s="1">
        <v>32753</v>
      </c>
      <c r="K358" t="s">
        <v>24</v>
      </c>
      <c r="L358" t="s">
        <v>29</v>
      </c>
      <c r="M358">
        <v>2011</v>
      </c>
      <c r="N358" t="str">
        <f t="shared" si="22"/>
        <v>Drafted</v>
      </c>
      <c r="O358">
        <v>1</v>
      </c>
      <c r="P358">
        <v>14</v>
      </c>
    </row>
    <row r="359" spans="1:16" x14ac:dyDescent="0.35">
      <c r="A359" t="s">
        <v>678</v>
      </c>
      <c r="B359" t="s">
        <v>766</v>
      </c>
      <c r="C359" t="str">
        <f>CONCATENATE(A359, " ",B359)</f>
        <v>Trey Murphy III</v>
      </c>
      <c r="D359" t="s">
        <v>13</v>
      </c>
      <c r="E359" s="2">
        <v>45085</v>
      </c>
      <c r="F359" s="3">
        <f t="shared" si="20"/>
        <v>6</v>
      </c>
      <c r="G359" s="3">
        <f t="shared" si="23"/>
        <v>8</v>
      </c>
      <c r="H359" s="2" t="str">
        <f t="shared" si="21"/>
        <v>6' 8"</v>
      </c>
      <c r="I359">
        <v>206</v>
      </c>
      <c r="J359" s="1">
        <v>36695</v>
      </c>
      <c r="K359" t="s">
        <v>24</v>
      </c>
      <c r="L359" t="s">
        <v>197</v>
      </c>
      <c r="M359">
        <v>2021</v>
      </c>
      <c r="N359" t="str">
        <f t="shared" si="22"/>
        <v>Drafted</v>
      </c>
      <c r="O359">
        <v>1</v>
      </c>
      <c r="P359">
        <v>17</v>
      </c>
    </row>
    <row r="360" spans="1:16" x14ac:dyDescent="0.35">
      <c r="A360" t="s">
        <v>767</v>
      </c>
      <c r="B360" t="s">
        <v>768</v>
      </c>
      <c r="C360" t="str">
        <f>CONCATENATE(A360, " ",B360)</f>
        <v>Dejounte Murray</v>
      </c>
      <c r="D360" t="s">
        <v>28</v>
      </c>
      <c r="E360" s="2">
        <v>45082</v>
      </c>
      <c r="F360" s="3">
        <f t="shared" si="20"/>
        <v>6</v>
      </c>
      <c r="G360" s="3">
        <f t="shared" si="23"/>
        <v>5</v>
      </c>
      <c r="H360" s="2" t="str">
        <f t="shared" si="21"/>
        <v>6' 5"</v>
      </c>
      <c r="I360">
        <v>180</v>
      </c>
      <c r="J360" s="1">
        <v>35327</v>
      </c>
      <c r="K360" t="s">
        <v>24</v>
      </c>
      <c r="L360" t="s">
        <v>422</v>
      </c>
      <c r="M360">
        <v>2016</v>
      </c>
      <c r="N360" t="str">
        <f t="shared" si="22"/>
        <v>Drafted</v>
      </c>
      <c r="O360">
        <v>1</v>
      </c>
      <c r="P360">
        <v>29</v>
      </c>
    </row>
    <row r="361" spans="1:16" x14ac:dyDescent="0.35">
      <c r="A361" t="s">
        <v>232</v>
      </c>
      <c r="B361" t="s">
        <v>768</v>
      </c>
      <c r="C361" t="str">
        <f>CONCATENATE(A361, " ",B361)</f>
        <v>Jamal Murray</v>
      </c>
      <c r="D361" t="s">
        <v>28</v>
      </c>
      <c r="E361" s="2">
        <v>45081</v>
      </c>
      <c r="F361" s="3">
        <f t="shared" si="20"/>
        <v>6</v>
      </c>
      <c r="G361" s="3">
        <f t="shared" si="23"/>
        <v>4</v>
      </c>
      <c r="H361" s="2" t="str">
        <f t="shared" si="21"/>
        <v>6' 4"</v>
      </c>
      <c r="I361">
        <v>215</v>
      </c>
      <c r="J361" s="1">
        <v>35484</v>
      </c>
      <c r="K361" t="s">
        <v>37</v>
      </c>
      <c r="L361" t="s">
        <v>25</v>
      </c>
      <c r="M361">
        <v>2016</v>
      </c>
      <c r="N361" t="str">
        <f t="shared" si="22"/>
        <v>Drafted</v>
      </c>
      <c r="O361">
        <v>1</v>
      </c>
      <c r="P361">
        <v>7</v>
      </c>
    </row>
    <row r="362" spans="1:16" x14ac:dyDescent="0.35">
      <c r="A362" t="s">
        <v>769</v>
      </c>
      <c r="B362" t="s">
        <v>768</v>
      </c>
      <c r="C362" t="str">
        <f>CONCATENATE(A362, " ",B362)</f>
        <v>Keegan Murray</v>
      </c>
      <c r="D362" t="s">
        <v>13</v>
      </c>
      <c r="E362" s="2">
        <v>45085</v>
      </c>
      <c r="F362" s="3">
        <f t="shared" si="20"/>
        <v>6</v>
      </c>
      <c r="G362" s="3">
        <f t="shared" si="23"/>
        <v>8</v>
      </c>
      <c r="H362" s="2" t="str">
        <f t="shared" si="21"/>
        <v>6' 8"</v>
      </c>
      <c r="I362">
        <v>225</v>
      </c>
      <c r="J362" s="1">
        <v>36757</v>
      </c>
      <c r="K362" t="s">
        <v>24</v>
      </c>
      <c r="L362" t="s">
        <v>433</v>
      </c>
      <c r="M362">
        <v>2022</v>
      </c>
      <c r="N362" t="str">
        <f t="shared" si="22"/>
        <v>Drafted</v>
      </c>
      <c r="O362">
        <v>1</v>
      </c>
      <c r="P362">
        <v>4</v>
      </c>
    </row>
    <row r="363" spans="1:16" x14ac:dyDescent="0.35">
      <c r="A363" t="s">
        <v>289</v>
      </c>
      <c r="B363" t="s">
        <v>770</v>
      </c>
      <c r="C363" t="str">
        <f>CONCATENATE(A363, " ",B363)</f>
        <v>Mike Muscala</v>
      </c>
      <c r="D363" t="s">
        <v>32</v>
      </c>
      <c r="E363" s="2">
        <v>45088</v>
      </c>
      <c r="F363" s="3">
        <f t="shared" si="20"/>
        <v>6</v>
      </c>
      <c r="G363" s="3">
        <f t="shared" si="23"/>
        <v>11</v>
      </c>
      <c r="H363" s="2" t="str">
        <f t="shared" si="21"/>
        <v>6' 11"</v>
      </c>
      <c r="I363">
        <v>240</v>
      </c>
      <c r="J363" s="1">
        <v>33420</v>
      </c>
      <c r="K363" t="s">
        <v>24</v>
      </c>
      <c r="L363" t="s">
        <v>771</v>
      </c>
      <c r="M363">
        <v>2013</v>
      </c>
      <c r="N363" t="str">
        <f t="shared" si="22"/>
        <v>Drafted</v>
      </c>
      <c r="O363">
        <v>2</v>
      </c>
      <c r="P363">
        <v>44</v>
      </c>
    </row>
    <row r="364" spans="1:16" x14ac:dyDescent="0.35">
      <c r="A364" t="s">
        <v>772</v>
      </c>
      <c r="B364" t="s">
        <v>773</v>
      </c>
      <c r="C364" t="str">
        <f>CONCATENATE(A364, " ",B364)</f>
        <v>Svi Mykhailiuk</v>
      </c>
      <c r="D364" t="s">
        <v>122</v>
      </c>
      <c r="E364" s="2">
        <v>45084</v>
      </c>
      <c r="F364" s="3">
        <f t="shared" si="20"/>
        <v>6</v>
      </c>
      <c r="G364" s="3">
        <f t="shared" si="23"/>
        <v>7</v>
      </c>
      <c r="H364" s="2" t="str">
        <f t="shared" si="21"/>
        <v>6' 7"</v>
      </c>
      <c r="I364">
        <v>205</v>
      </c>
      <c r="J364" s="1">
        <v>35591</v>
      </c>
      <c r="K364" t="s">
        <v>655</v>
      </c>
      <c r="L364" t="s">
        <v>29</v>
      </c>
      <c r="M364">
        <v>2018</v>
      </c>
      <c r="N364" t="str">
        <f t="shared" si="22"/>
        <v>Drafted</v>
      </c>
      <c r="O364">
        <v>2</v>
      </c>
      <c r="P364">
        <v>47</v>
      </c>
    </row>
    <row r="365" spans="1:16" x14ac:dyDescent="0.35">
      <c r="A365" t="s">
        <v>774</v>
      </c>
      <c r="B365" t="s">
        <v>775</v>
      </c>
      <c r="C365" t="str">
        <f>CONCATENATE(A365, " ",B365)</f>
        <v>Larry Nance Jr.</v>
      </c>
      <c r="D365" t="s">
        <v>32</v>
      </c>
      <c r="E365" s="2">
        <v>45085</v>
      </c>
      <c r="F365" s="3">
        <f t="shared" si="20"/>
        <v>6</v>
      </c>
      <c r="G365" s="3">
        <f t="shared" si="23"/>
        <v>8</v>
      </c>
      <c r="H365" s="2" t="str">
        <f t="shared" si="21"/>
        <v>6' 8"</v>
      </c>
      <c r="I365">
        <v>245</v>
      </c>
      <c r="J365" s="1">
        <v>33970</v>
      </c>
      <c r="K365" t="s">
        <v>24</v>
      </c>
      <c r="L365" t="s">
        <v>776</v>
      </c>
      <c r="M365">
        <v>2015</v>
      </c>
      <c r="N365" t="str">
        <f t="shared" si="22"/>
        <v>Drafted</v>
      </c>
      <c r="O365">
        <v>1</v>
      </c>
      <c r="P365">
        <v>27</v>
      </c>
    </row>
    <row r="366" spans="1:16" x14ac:dyDescent="0.35">
      <c r="A366" t="s">
        <v>777</v>
      </c>
      <c r="B366" t="s">
        <v>778</v>
      </c>
      <c r="C366" t="str">
        <f>CONCATENATE(A366, " ",B366)</f>
        <v>Andrew Nembhard</v>
      </c>
      <c r="D366" t="s">
        <v>122</v>
      </c>
      <c r="E366" s="2">
        <v>45080</v>
      </c>
      <c r="F366" s="3">
        <f t="shared" si="20"/>
        <v>6</v>
      </c>
      <c r="G366" s="3">
        <f t="shared" si="23"/>
        <v>3</v>
      </c>
      <c r="H366" s="2" t="str">
        <f t="shared" si="21"/>
        <v>6' 3"</v>
      </c>
      <c r="I366">
        <v>191</v>
      </c>
      <c r="J366" s="1">
        <v>36541</v>
      </c>
      <c r="K366" t="s">
        <v>37</v>
      </c>
      <c r="L366" t="s">
        <v>275</v>
      </c>
      <c r="M366">
        <v>2022</v>
      </c>
      <c r="N366" t="str">
        <f t="shared" si="22"/>
        <v>Drafted</v>
      </c>
      <c r="O366">
        <v>2</v>
      </c>
      <c r="P366">
        <v>31</v>
      </c>
    </row>
    <row r="367" spans="1:16" x14ac:dyDescent="0.35">
      <c r="A367" t="s">
        <v>453</v>
      </c>
      <c r="B367" t="s">
        <v>779</v>
      </c>
      <c r="C367" t="str">
        <f>CONCATENATE(A367, " ",B367)</f>
        <v>Aaron Nesmith</v>
      </c>
      <c r="D367" t="s">
        <v>122</v>
      </c>
      <c r="E367" s="2">
        <v>45082</v>
      </c>
      <c r="F367" s="3">
        <f t="shared" si="20"/>
        <v>6</v>
      </c>
      <c r="G367" s="3">
        <f t="shared" si="23"/>
        <v>5</v>
      </c>
      <c r="H367" s="2" t="str">
        <f t="shared" si="21"/>
        <v>6' 5"</v>
      </c>
      <c r="I367">
        <v>215</v>
      </c>
      <c r="J367" s="1">
        <v>36449</v>
      </c>
      <c r="K367" t="s">
        <v>24</v>
      </c>
      <c r="L367" t="s">
        <v>429</v>
      </c>
      <c r="M367">
        <v>2020</v>
      </c>
      <c r="N367" t="str">
        <f t="shared" si="22"/>
        <v>Drafted</v>
      </c>
      <c r="O367">
        <v>1</v>
      </c>
      <c r="P367">
        <v>14</v>
      </c>
    </row>
    <row r="368" spans="1:16" x14ac:dyDescent="0.35">
      <c r="A368" t="s">
        <v>780</v>
      </c>
      <c r="B368" t="s">
        <v>781</v>
      </c>
      <c r="C368" t="str">
        <f>CONCATENATE(A368, " ",B368)</f>
        <v>Raul Neto</v>
      </c>
      <c r="D368" t="s">
        <v>28</v>
      </c>
      <c r="E368" s="2">
        <v>45079</v>
      </c>
      <c r="F368" s="3">
        <f t="shared" si="20"/>
        <v>6</v>
      </c>
      <c r="G368" s="3">
        <f t="shared" si="23"/>
        <v>2</v>
      </c>
      <c r="H368" s="2" t="str">
        <f t="shared" si="21"/>
        <v>6' 2"</v>
      </c>
      <c r="I368">
        <v>180</v>
      </c>
      <c r="J368" s="1">
        <v>33743</v>
      </c>
      <c r="K368" t="s">
        <v>782</v>
      </c>
      <c r="L368" t="s">
        <v>783</v>
      </c>
      <c r="M368">
        <v>2013</v>
      </c>
      <c r="N368" t="str">
        <f t="shared" si="22"/>
        <v>Drafted</v>
      </c>
      <c r="O368">
        <v>2</v>
      </c>
      <c r="P368">
        <v>47</v>
      </c>
    </row>
    <row r="369" spans="1:16" x14ac:dyDescent="0.35">
      <c r="A369" t="s">
        <v>784</v>
      </c>
      <c r="B369" t="s">
        <v>785</v>
      </c>
      <c r="C369" t="str">
        <f>CONCATENATE(A369, " ",B369)</f>
        <v>Georges Niang</v>
      </c>
      <c r="D369" t="s">
        <v>13</v>
      </c>
      <c r="E369" s="2">
        <v>45084</v>
      </c>
      <c r="F369" s="3">
        <f t="shared" si="20"/>
        <v>6</v>
      </c>
      <c r="G369" s="3">
        <f t="shared" si="23"/>
        <v>7</v>
      </c>
      <c r="H369" s="2" t="str">
        <f t="shared" si="21"/>
        <v>6' 7"</v>
      </c>
      <c r="I369">
        <v>230</v>
      </c>
      <c r="J369" s="1">
        <v>34137</v>
      </c>
      <c r="K369" t="s">
        <v>24</v>
      </c>
      <c r="L369" t="s">
        <v>225</v>
      </c>
      <c r="M369">
        <v>2016</v>
      </c>
      <c r="N369" t="str">
        <f t="shared" si="22"/>
        <v>Drafted</v>
      </c>
      <c r="O369">
        <v>2</v>
      </c>
      <c r="P369">
        <v>50</v>
      </c>
    </row>
    <row r="370" spans="1:16" x14ac:dyDescent="0.35">
      <c r="A370" t="s">
        <v>786</v>
      </c>
      <c r="B370" t="s">
        <v>787</v>
      </c>
      <c r="C370" t="str">
        <f>CONCATENATE(A370, " ",B370)</f>
        <v>Daishen Nix</v>
      </c>
      <c r="D370" t="s">
        <v>28</v>
      </c>
      <c r="E370" s="2">
        <v>45081</v>
      </c>
      <c r="F370" s="3">
        <f t="shared" si="20"/>
        <v>6</v>
      </c>
      <c r="G370" s="3">
        <f t="shared" si="23"/>
        <v>4</v>
      </c>
      <c r="H370" s="2" t="str">
        <f t="shared" si="21"/>
        <v>6' 4"</v>
      </c>
      <c r="I370">
        <v>226</v>
      </c>
      <c r="J370" s="1">
        <v>37300</v>
      </c>
      <c r="K370" t="s">
        <v>24</v>
      </c>
      <c r="M370">
        <v>2021</v>
      </c>
      <c r="N370" t="str">
        <f t="shared" si="22"/>
        <v>Undrafted</v>
      </c>
    </row>
    <row r="371" spans="1:16" x14ac:dyDescent="0.35">
      <c r="A371" t="s">
        <v>788</v>
      </c>
      <c r="B371" t="s">
        <v>789</v>
      </c>
      <c r="C371" t="str">
        <f>CONCATENATE(A371, " ",B371)</f>
        <v>Zeke Nnaji</v>
      </c>
      <c r="D371" t="s">
        <v>32</v>
      </c>
      <c r="E371" s="2">
        <v>45086</v>
      </c>
      <c r="F371" s="3">
        <f t="shared" si="20"/>
        <v>6</v>
      </c>
      <c r="G371" s="3">
        <f t="shared" si="23"/>
        <v>9</v>
      </c>
      <c r="H371" s="2" t="str">
        <f t="shared" si="21"/>
        <v>6' 9"</v>
      </c>
      <c r="I371">
        <v>240</v>
      </c>
      <c r="J371" s="1">
        <v>36900</v>
      </c>
      <c r="K371" t="s">
        <v>24</v>
      </c>
      <c r="L371" t="s">
        <v>79</v>
      </c>
      <c r="M371">
        <v>2020</v>
      </c>
      <c r="N371" t="str">
        <f t="shared" si="22"/>
        <v>Drafted</v>
      </c>
      <c r="O371">
        <v>1</v>
      </c>
      <c r="P371">
        <v>22</v>
      </c>
    </row>
    <row r="372" spans="1:16" x14ac:dyDescent="0.35">
      <c r="A372" t="s">
        <v>790</v>
      </c>
      <c r="B372" t="s">
        <v>791</v>
      </c>
      <c r="C372" t="str">
        <f>CONCATENATE(A372, " ",B372)</f>
        <v>Nerlens Noel</v>
      </c>
      <c r="D372" t="s">
        <v>23</v>
      </c>
      <c r="E372" s="2">
        <v>45087</v>
      </c>
      <c r="F372" s="3">
        <f t="shared" si="20"/>
        <v>6</v>
      </c>
      <c r="G372" s="3">
        <f t="shared" si="23"/>
        <v>10</v>
      </c>
      <c r="H372" s="2" t="str">
        <f t="shared" si="21"/>
        <v>6' 10"</v>
      </c>
      <c r="I372">
        <v>220</v>
      </c>
      <c r="J372" s="1">
        <v>34434</v>
      </c>
      <c r="K372" t="s">
        <v>24</v>
      </c>
      <c r="L372" t="s">
        <v>25</v>
      </c>
      <c r="M372">
        <v>2013</v>
      </c>
      <c r="N372" t="str">
        <f t="shared" si="22"/>
        <v>Drafted</v>
      </c>
      <c r="O372">
        <v>1</v>
      </c>
      <c r="P372">
        <v>6</v>
      </c>
    </row>
    <row r="373" spans="1:16" x14ac:dyDescent="0.35">
      <c r="A373" t="s">
        <v>203</v>
      </c>
      <c r="B373" t="s">
        <v>792</v>
      </c>
      <c r="C373" t="str">
        <f>CONCATENATE(A373, " ",B373)</f>
        <v>Jaylen Nowell</v>
      </c>
      <c r="D373" t="s">
        <v>28</v>
      </c>
      <c r="E373" s="2">
        <v>45081</v>
      </c>
      <c r="F373" s="3">
        <f t="shared" si="20"/>
        <v>6</v>
      </c>
      <c r="G373" s="3">
        <f t="shared" si="23"/>
        <v>4</v>
      </c>
      <c r="H373" s="2" t="str">
        <f t="shared" si="21"/>
        <v>6' 4"</v>
      </c>
      <c r="I373">
        <v>201</v>
      </c>
      <c r="J373" s="1">
        <v>36350</v>
      </c>
      <c r="K373" t="s">
        <v>24</v>
      </c>
      <c r="L373" t="s">
        <v>422</v>
      </c>
      <c r="M373">
        <v>2019</v>
      </c>
      <c r="N373" t="str">
        <f t="shared" si="22"/>
        <v>Drafted</v>
      </c>
      <c r="O373">
        <v>2</v>
      </c>
      <c r="P373">
        <v>43</v>
      </c>
    </row>
    <row r="374" spans="1:16" x14ac:dyDescent="0.35">
      <c r="A374" t="s">
        <v>567</v>
      </c>
      <c r="B374" t="s">
        <v>793</v>
      </c>
      <c r="C374" t="str">
        <f>CONCATENATE(A374, " ",B374)</f>
        <v>Frank Ntilikina</v>
      </c>
      <c r="D374" t="s">
        <v>28</v>
      </c>
      <c r="E374" s="2">
        <v>45081</v>
      </c>
      <c r="F374" s="3">
        <f t="shared" si="20"/>
        <v>6</v>
      </c>
      <c r="G374" s="3">
        <f t="shared" si="23"/>
        <v>4</v>
      </c>
      <c r="H374" s="2" t="str">
        <f t="shared" si="21"/>
        <v>6' 4"</v>
      </c>
      <c r="I374">
        <v>200</v>
      </c>
      <c r="J374" s="1">
        <v>36004</v>
      </c>
      <c r="K374" t="s">
        <v>123</v>
      </c>
      <c r="L374" t="s">
        <v>794</v>
      </c>
      <c r="M374">
        <v>2017</v>
      </c>
      <c r="N374" t="str">
        <f t="shared" si="22"/>
        <v>Drafted</v>
      </c>
      <c r="O374">
        <v>1</v>
      </c>
      <c r="P374">
        <v>8</v>
      </c>
    </row>
    <row r="375" spans="1:16" x14ac:dyDescent="0.35">
      <c r="A375" t="s">
        <v>795</v>
      </c>
      <c r="B375" t="s">
        <v>796</v>
      </c>
      <c r="C375" t="str">
        <f>CONCATENATE(A375, " ",B375)</f>
        <v>Kendrick Nunn</v>
      </c>
      <c r="D375" t="s">
        <v>28</v>
      </c>
      <c r="E375" s="2">
        <v>45080</v>
      </c>
      <c r="F375" s="3">
        <f t="shared" si="20"/>
        <v>6</v>
      </c>
      <c r="G375" s="3">
        <f t="shared" si="23"/>
        <v>3</v>
      </c>
      <c r="H375" s="2" t="str">
        <f t="shared" si="21"/>
        <v>6' 3"</v>
      </c>
      <c r="I375">
        <v>190</v>
      </c>
      <c r="J375" s="1">
        <v>34914</v>
      </c>
      <c r="K375" t="s">
        <v>24</v>
      </c>
      <c r="L375" t="s">
        <v>234</v>
      </c>
      <c r="M375">
        <v>2018</v>
      </c>
      <c r="N375" t="str">
        <f t="shared" si="22"/>
        <v>Undrafted</v>
      </c>
    </row>
    <row r="376" spans="1:16" x14ac:dyDescent="0.35">
      <c r="A376" t="s">
        <v>797</v>
      </c>
      <c r="B376" t="s">
        <v>798</v>
      </c>
      <c r="C376" t="str">
        <f>CONCATENATE(A376, " ",B376)</f>
        <v>Jusuf Nurkic</v>
      </c>
      <c r="D376" t="s">
        <v>18</v>
      </c>
      <c r="E376" s="2">
        <v>36708</v>
      </c>
      <c r="F376" s="3">
        <f t="shared" si="20"/>
        <v>7</v>
      </c>
      <c r="G376" s="3">
        <f t="shared" si="23"/>
        <v>1</v>
      </c>
      <c r="H376" s="2" t="str">
        <f t="shared" si="21"/>
        <v>7' 1"</v>
      </c>
      <c r="I376">
        <v>290</v>
      </c>
      <c r="J376" s="1">
        <v>34569</v>
      </c>
      <c r="K376" t="s">
        <v>799</v>
      </c>
      <c r="L376" t="s">
        <v>800</v>
      </c>
      <c r="M376">
        <v>2014</v>
      </c>
      <c r="N376" t="str">
        <f t="shared" si="22"/>
        <v>Drafted</v>
      </c>
      <c r="O376">
        <v>1</v>
      </c>
      <c r="P376">
        <v>16</v>
      </c>
    </row>
    <row r="377" spans="1:16" x14ac:dyDescent="0.35">
      <c r="A377" t="s">
        <v>276</v>
      </c>
      <c r="B377" t="s">
        <v>801</v>
      </c>
      <c r="C377" t="str">
        <f>CONCATENATE(A377, " ",B377)</f>
        <v>Jordan Nwora</v>
      </c>
      <c r="D377" t="s">
        <v>13</v>
      </c>
      <c r="E377" s="2">
        <v>45086</v>
      </c>
      <c r="F377" s="3">
        <f t="shared" si="20"/>
        <v>6</v>
      </c>
      <c r="G377" s="3">
        <f t="shared" si="23"/>
        <v>9</v>
      </c>
      <c r="H377" s="2" t="str">
        <f t="shared" si="21"/>
        <v>6' 9"</v>
      </c>
      <c r="I377">
        <v>225</v>
      </c>
      <c r="J377" s="1">
        <v>36047</v>
      </c>
      <c r="K377" t="s">
        <v>24</v>
      </c>
      <c r="L377" t="s">
        <v>345</v>
      </c>
      <c r="M377">
        <v>2020</v>
      </c>
      <c r="N377" t="str">
        <f t="shared" si="22"/>
        <v>Drafted</v>
      </c>
      <c r="O377">
        <v>2</v>
      </c>
      <c r="P377">
        <v>45</v>
      </c>
    </row>
    <row r="378" spans="1:16" x14ac:dyDescent="0.35">
      <c r="A378" t="s">
        <v>802</v>
      </c>
      <c r="B378" t="s">
        <v>803</v>
      </c>
      <c r="C378" t="str">
        <f>CONCATENATE(A378, " ",B378)</f>
        <v>Royce O'Neale</v>
      </c>
      <c r="D378" t="s">
        <v>13</v>
      </c>
      <c r="E378" s="2">
        <v>45083</v>
      </c>
      <c r="F378" s="3">
        <f t="shared" si="20"/>
        <v>6</v>
      </c>
      <c r="G378" s="3">
        <f t="shared" si="23"/>
        <v>6</v>
      </c>
      <c r="H378" s="2" t="str">
        <f t="shared" si="21"/>
        <v>6' 6"</v>
      </c>
      <c r="I378">
        <v>226</v>
      </c>
      <c r="J378" s="1">
        <v>34125</v>
      </c>
      <c r="K378" t="s">
        <v>24</v>
      </c>
      <c r="L378" t="s">
        <v>206</v>
      </c>
      <c r="M378">
        <v>2017</v>
      </c>
      <c r="N378" t="str">
        <f t="shared" si="22"/>
        <v>Undrafted</v>
      </c>
    </row>
    <row r="379" spans="1:16" x14ac:dyDescent="0.35">
      <c r="A379" t="s">
        <v>804</v>
      </c>
      <c r="B379" t="s">
        <v>805</v>
      </c>
      <c r="C379" t="str">
        <f>CONCATENATE(A379, " ",B379)</f>
        <v>Chuma Okeke</v>
      </c>
      <c r="D379" t="s">
        <v>13</v>
      </c>
      <c r="E379" s="2">
        <v>45085</v>
      </c>
      <c r="F379" s="3">
        <f t="shared" si="20"/>
        <v>6</v>
      </c>
      <c r="G379" s="3">
        <f t="shared" si="23"/>
        <v>8</v>
      </c>
      <c r="H379" s="2" t="str">
        <f t="shared" si="21"/>
        <v>6' 8"</v>
      </c>
      <c r="I379">
        <v>229</v>
      </c>
      <c r="J379" s="1">
        <v>36025</v>
      </c>
      <c r="K379" t="s">
        <v>24</v>
      </c>
      <c r="L379" t="s">
        <v>607</v>
      </c>
      <c r="M379">
        <v>2019</v>
      </c>
      <c r="N379" t="str">
        <f t="shared" si="22"/>
        <v>Drafted</v>
      </c>
      <c r="O379">
        <v>1</v>
      </c>
      <c r="P379">
        <v>16</v>
      </c>
    </row>
    <row r="380" spans="1:16" x14ac:dyDescent="0.35">
      <c r="A380" t="s">
        <v>271</v>
      </c>
      <c r="B380" t="s">
        <v>806</v>
      </c>
      <c r="C380" t="str">
        <f>CONCATENATE(A380, " ",B380)</f>
        <v>Josh Okogie</v>
      </c>
      <c r="D380" t="s">
        <v>28</v>
      </c>
      <c r="E380" s="2">
        <v>45081</v>
      </c>
      <c r="F380" s="3">
        <f t="shared" si="20"/>
        <v>6</v>
      </c>
      <c r="G380" s="3">
        <f t="shared" si="23"/>
        <v>4</v>
      </c>
      <c r="H380" s="2" t="str">
        <f t="shared" si="21"/>
        <v>6' 4"</v>
      </c>
      <c r="I380">
        <v>213</v>
      </c>
      <c r="J380" s="1">
        <v>36039</v>
      </c>
      <c r="K380" t="s">
        <v>14</v>
      </c>
      <c r="L380" t="s">
        <v>46</v>
      </c>
      <c r="M380">
        <v>2018</v>
      </c>
      <c r="N380" t="str">
        <f t="shared" si="22"/>
        <v>Drafted</v>
      </c>
      <c r="O380">
        <v>1</v>
      </c>
      <c r="P380">
        <v>20</v>
      </c>
    </row>
    <row r="381" spans="1:16" x14ac:dyDescent="0.35">
      <c r="A381" t="s">
        <v>807</v>
      </c>
      <c r="B381" t="s">
        <v>808</v>
      </c>
      <c r="C381" t="str">
        <f>CONCATENATE(A381, " ",B381)</f>
        <v>Onyeka Okongwu</v>
      </c>
      <c r="D381" t="s">
        <v>32</v>
      </c>
      <c r="E381" s="2">
        <v>45086</v>
      </c>
      <c r="F381" s="3">
        <f t="shared" si="20"/>
        <v>6</v>
      </c>
      <c r="G381" s="3">
        <f t="shared" si="23"/>
        <v>9</v>
      </c>
      <c r="H381" s="2" t="str">
        <f t="shared" si="21"/>
        <v>6' 9"</v>
      </c>
      <c r="I381">
        <v>240</v>
      </c>
      <c r="J381" s="1">
        <v>36871</v>
      </c>
      <c r="K381" t="s">
        <v>24</v>
      </c>
      <c r="L381" t="s">
        <v>328</v>
      </c>
      <c r="M381">
        <v>2020</v>
      </c>
      <c r="N381" t="str">
        <f t="shared" si="22"/>
        <v>Drafted</v>
      </c>
      <c r="O381">
        <v>1</v>
      </c>
      <c r="P381">
        <v>6</v>
      </c>
    </row>
    <row r="382" spans="1:16" x14ac:dyDescent="0.35">
      <c r="A382" t="s">
        <v>564</v>
      </c>
      <c r="B382" t="s">
        <v>809</v>
      </c>
      <c r="C382" t="str">
        <f>CONCATENATE(A382, " ",B382)</f>
        <v>Isaac Okoro</v>
      </c>
      <c r="D382" t="s">
        <v>49</v>
      </c>
      <c r="E382" s="2">
        <v>45082</v>
      </c>
      <c r="F382" s="3">
        <f t="shared" si="20"/>
        <v>6</v>
      </c>
      <c r="G382" s="3">
        <f t="shared" si="23"/>
        <v>5</v>
      </c>
      <c r="H382" s="2" t="str">
        <f t="shared" si="21"/>
        <v>6' 5"</v>
      </c>
      <c r="I382">
        <v>225</v>
      </c>
      <c r="J382" s="1">
        <v>36917</v>
      </c>
      <c r="K382" t="s">
        <v>24</v>
      </c>
      <c r="L382" t="s">
        <v>607</v>
      </c>
      <c r="M382">
        <v>2020</v>
      </c>
      <c r="N382" t="str">
        <f t="shared" si="22"/>
        <v>Drafted</v>
      </c>
      <c r="O382">
        <v>1</v>
      </c>
      <c r="P382">
        <v>5</v>
      </c>
    </row>
    <row r="383" spans="1:16" x14ac:dyDescent="0.35">
      <c r="A383" t="s">
        <v>810</v>
      </c>
      <c r="B383" t="s">
        <v>811</v>
      </c>
      <c r="C383" t="str">
        <f>CONCATENATE(A383, " ",B383)</f>
        <v>KZ Okpala</v>
      </c>
      <c r="D383" t="s">
        <v>49</v>
      </c>
      <c r="E383" s="2">
        <v>45085</v>
      </c>
      <c r="F383" s="3">
        <f t="shared" si="20"/>
        <v>6</v>
      </c>
      <c r="G383" s="3">
        <f t="shared" si="23"/>
        <v>8</v>
      </c>
      <c r="H383" s="2" t="str">
        <f t="shared" si="21"/>
        <v>6' 8"</v>
      </c>
      <c r="I383">
        <v>215</v>
      </c>
      <c r="J383" s="1">
        <v>36278</v>
      </c>
      <c r="K383" t="s">
        <v>24</v>
      </c>
      <c r="L383" t="s">
        <v>674</v>
      </c>
      <c r="M383">
        <v>2019</v>
      </c>
      <c r="N383" t="str">
        <f t="shared" si="22"/>
        <v>Drafted</v>
      </c>
      <c r="O383">
        <v>2</v>
      </c>
      <c r="P383">
        <v>32</v>
      </c>
    </row>
    <row r="384" spans="1:16" x14ac:dyDescent="0.35">
      <c r="A384" t="s">
        <v>812</v>
      </c>
      <c r="B384" t="s">
        <v>813</v>
      </c>
      <c r="C384" t="str">
        <f>CONCATENATE(A384, " ",B384)</f>
        <v>Victor Oladipo</v>
      </c>
      <c r="D384" t="s">
        <v>28</v>
      </c>
      <c r="E384" s="2">
        <v>45080</v>
      </c>
      <c r="F384" s="3">
        <f t="shared" si="20"/>
        <v>6</v>
      </c>
      <c r="G384" s="3">
        <f t="shared" si="23"/>
        <v>3</v>
      </c>
      <c r="H384" s="2" t="str">
        <f t="shared" si="21"/>
        <v>6' 3"</v>
      </c>
      <c r="I384">
        <v>213</v>
      </c>
      <c r="J384" s="1">
        <v>33728</v>
      </c>
      <c r="K384" t="s">
        <v>24</v>
      </c>
      <c r="L384" t="s">
        <v>65</v>
      </c>
      <c r="M384">
        <v>2013</v>
      </c>
      <c r="N384" t="str">
        <f t="shared" si="22"/>
        <v>Drafted</v>
      </c>
      <c r="O384">
        <v>1</v>
      </c>
      <c r="P384">
        <v>2</v>
      </c>
    </row>
    <row r="385" spans="1:16" x14ac:dyDescent="0.35">
      <c r="A385" t="s">
        <v>814</v>
      </c>
      <c r="B385" t="s">
        <v>815</v>
      </c>
      <c r="C385" t="str">
        <f>CONCATENATE(A385, " ",B385)</f>
        <v>Kelly Olynyk</v>
      </c>
      <c r="D385" t="s">
        <v>32</v>
      </c>
      <c r="E385" s="2">
        <v>45088</v>
      </c>
      <c r="F385" s="3">
        <f t="shared" si="20"/>
        <v>6</v>
      </c>
      <c r="G385" s="3">
        <f t="shared" si="23"/>
        <v>11</v>
      </c>
      <c r="H385" s="2" t="str">
        <f t="shared" si="21"/>
        <v>6' 11"</v>
      </c>
      <c r="I385">
        <v>240</v>
      </c>
      <c r="J385" s="1">
        <v>33347</v>
      </c>
      <c r="K385" t="s">
        <v>37</v>
      </c>
      <c r="L385" t="s">
        <v>275</v>
      </c>
      <c r="M385">
        <v>2013</v>
      </c>
      <c r="N385" t="str">
        <f t="shared" si="22"/>
        <v>Drafted</v>
      </c>
      <c r="O385">
        <v>1</v>
      </c>
      <c r="P385">
        <v>13</v>
      </c>
    </row>
    <row r="386" spans="1:16" x14ac:dyDescent="0.35">
      <c r="A386" t="s">
        <v>816</v>
      </c>
      <c r="B386" t="s">
        <v>817</v>
      </c>
      <c r="C386" t="str">
        <f>CONCATENATE(A386, " ",B386)</f>
        <v>Eugene Omoruyi</v>
      </c>
      <c r="D386" t="s">
        <v>13</v>
      </c>
      <c r="E386" s="2">
        <v>45083</v>
      </c>
      <c r="F386" s="3">
        <f t="shared" si="20"/>
        <v>6</v>
      </c>
      <c r="G386" s="3">
        <f t="shared" si="23"/>
        <v>6</v>
      </c>
      <c r="H386" s="2" t="str">
        <f t="shared" si="21"/>
        <v>6' 6"</v>
      </c>
      <c r="I386">
        <v>235</v>
      </c>
      <c r="J386" s="1">
        <v>35475</v>
      </c>
      <c r="K386" t="s">
        <v>14</v>
      </c>
      <c r="L386" t="s">
        <v>166</v>
      </c>
      <c r="M386">
        <v>2021</v>
      </c>
      <c r="N386" t="str">
        <f t="shared" si="22"/>
        <v>Undrafted</v>
      </c>
    </row>
    <row r="387" spans="1:16" x14ac:dyDescent="0.35">
      <c r="A387" t="s">
        <v>818</v>
      </c>
      <c r="B387" t="s">
        <v>819</v>
      </c>
      <c r="C387" t="str">
        <f>CONCATENATE(A387, " ",B387)</f>
        <v>Cedi Osman</v>
      </c>
      <c r="D387" t="s">
        <v>13</v>
      </c>
      <c r="E387" s="2">
        <v>45084</v>
      </c>
      <c r="F387" s="3">
        <f t="shared" ref="F387:F450" si="24">MONTH(E387)</f>
        <v>6</v>
      </c>
      <c r="G387" s="3">
        <f t="shared" si="23"/>
        <v>7</v>
      </c>
      <c r="H387" s="2" t="str">
        <f t="shared" ref="H387:H450" si="25">CONCATENATE(F387,"' ",G387,"""")</f>
        <v>6' 7"</v>
      </c>
      <c r="I387">
        <v>230</v>
      </c>
      <c r="J387" s="1">
        <v>34797</v>
      </c>
      <c r="K387" t="s">
        <v>626</v>
      </c>
      <c r="L387" t="s">
        <v>627</v>
      </c>
      <c r="M387">
        <v>2015</v>
      </c>
      <c r="N387" t="str">
        <f t="shared" ref="N387:N450" si="26">IF(O387 &gt; 0,"Drafted","Undrafted")</f>
        <v>Drafted</v>
      </c>
      <c r="O387">
        <v>2</v>
      </c>
      <c r="P387">
        <v>31</v>
      </c>
    </row>
    <row r="388" spans="1:16" x14ac:dyDescent="0.35">
      <c r="A388" t="s">
        <v>814</v>
      </c>
      <c r="B388" t="s">
        <v>820</v>
      </c>
      <c r="C388" t="str">
        <f>CONCATENATE(A388, " ",B388)</f>
        <v>Kelly Oubre Jr.</v>
      </c>
      <c r="D388" t="s">
        <v>49</v>
      </c>
      <c r="E388" s="2">
        <v>45083</v>
      </c>
      <c r="F388" s="3">
        <f t="shared" si="24"/>
        <v>6</v>
      </c>
      <c r="G388" s="3">
        <f t="shared" ref="G388:G451" si="27">DAY(E388)</f>
        <v>6</v>
      </c>
      <c r="H388" s="2" t="str">
        <f t="shared" si="25"/>
        <v>6' 6"</v>
      </c>
      <c r="I388">
        <v>203</v>
      </c>
      <c r="J388" s="1">
        <v>35042</v>
      </c>
      <c r="K388" t="s">
        <v>24</v>
      </c>
      <c r="L388" t="s">
        <v>29</v>
      </c>
      <c r="M388">
        <v>2015</v>
      </c>
      <c r="N388" t="str">
        <f t="shared" si="26"/>
        <v>Drafted</v>
      </c>
      <c r="O388">
        <v>1</v>
      </c>
      <c r="P388">
        <v>15</v>
      </c>
    </row>
    <row r="389" spans="1:16" x14ac:dyDescent="0.35">
      <c r="A389" t="s">
        <v>174</v>
      </c>
      <c r="B389" t="s">
        <v>436</v>
      </c>
      <c r="C389" t="str">
        <f>CONCATENATE(A389, " ",B389)</f>
        <v>Chris Paul</v>
      </c>
      <c r="D389" t="s">
        <v>28</v>
      </c>
      <c r="E389" s="2">
        <v>36678</v>
      </c>
      <c r="F389" s="3">
        <f t="shared" si="24"/>
        <v>6</v>
      </c>
      <c r="G389" s="3">
        <f t="shared" si="27"/>
        <v>1</v>
      </c>
      <c r="H389" s="2" t="str">
        <f t="shared" si="25"/>
        <v>6' 1"</v>
      </c>
      <c r="I389">
        <v>175</v>
      </c>
      <c r="J389" s="1">
        <v>31173</v>
      </c>
      <c r="K389" t="s">
        <v>24</v>
      </c>
      <c r="L389" t="s">
        <v>285</v>
      </c>
      <c r="M389">
        <v>2005</v>
      </c>
      <c r="N389" t="str">
        <f t="shared" si="26"/>
        <v>Drafted</v>
      </c>
      <c r="O389">
        <v>1</v>
      </c>
      <c r="P389">
        <v>4</v>
      </c>
    </row>
    <row r="390" spans="1:16" x14ac:dyDescent="0.35">
      <c r="A390" t="s">
        <v>582</v>
      </c>
      <c r="B390" t="s">
        <v>821</v>
      </c>
      <c r="C390" t="str">
        <f>CONCATENATE(A390, " ",B390)</f>
        <v>Cameron Payne</v>
      </c>
      <c r="D390" t="s">
        <v>28</v>
      </c>
      <c r="E390" s="2">
        <v>45078</v>
      </c>
      <c r="F390" s="3">
        <f t="shared" si="24"/>
        <v>6</v>
      </c>
      <c r="G390" s="3">
        <f t="shared" si="27"/>
        <v>1</v>
      </c>
      <c r="H390" s="2" t="str">
        <f t="shared" si="25"/>
        <v>6' 1"</v>
      </c>
      <c r="I390">
        <v>183</v>
      </c>
      <c r="J390" s="1">
        <v>34554</v>
      </c>
      <c r="K390" t="s">
        <v>24</v>
      </c>
      <c r="L390" t="s">
        <v>760</v>
      </c>
      <c r="M390">
        <v>2015</v>
      </c>
      <c r="N390" t="str">
        <f t="shared" si="26"/>
        <v>Drafted</v>
      </c>
      <c r="O390">
        <v>1</v>
      </c>
      <c r="P390">
        <v>14</v>
      </c>
    </row>
    <row r="391" spans="1:16" x14ac:dyDescent="0.35">
      <c r="A391" t="s">
        <v>496</v>
      </c>
      <c r="B391" t="s">
        <v>822</v>
      </c>
      <c r="C391" t="str">
        <f>CONCATENATE(A391, " ",B391)</f>
        <v>Gary Payton II</v>
      </c>
      <c r="D391" t="s">
        <v>28</v>
      </c>
      <c r="E391" s="2">
        <v>45079</v>
      </c>
      <c r="F391" s="3">
        <f t="shared" si="24"/>
        <v>6</v>
      </c>
      <c r="G391" s="3">
        <f t="shared" si="27"/>
        <v>2</v>
      </c>
      <c r="H391" s="2" t="str">
        <f t="shared" si="25"/>
        <v>6' 2"</v>
      </c>
      <c r="I391">
        <v>195</v>
      </c>
      <c r="J391" s="1">
        <v>33939</v>
      </c>
      <c r="K391" t="s">
        <v>24</v>
      </c>
      <c r="L391" t="s">
        <v>395</v>
      </c>
      <c r="M391">
        <v>2016</v>
      </c>
      <c r="N391" t="str">
        <f t="shared" si="26"/>
        <v>Undrafted</v>
      </c>
    </row>
    <row r="392" spans="1:16" x14ac:dyDescent="0.35">
      <c r="A392" t="s">
        <v>680</v>
      </c>
      <c r="B392" t="s">
        <v>823</v>
      </c>
      <c r="C392" t="str">
        <f>CONCATENATE(A392, " ",B392)</f>
        <v>Theo Pinson</v>
      </c>
      <c r="D392" t="s">
        <v>122</v>
      </c>
      <c r="E392" s="2">
        <v>45084</v>
      </c>
      <c r="F392" s="3">
        <f t="shared" si="24"/>
        <v>6</v>
      </c>
      <c r="G392" s="3">
        <f t="shared" si="27"/>
        <v>7</v>
      </c>
      <c r="H392" s="2" t="str">
        <f t="shared" si="25"/>
        <v>6' 7"</v>
      </c>
      <c r="I392">
        <v>212</v>
      </c>
      <c r="J392" s="1">
        <v>35008</v>
      </c>
      <c r="K392" t="s">
        <v>24</v>
      </c>
      <c r="L392" t="s">
        <v>61</v>
      </c>
      <c r="M392">
        <v>2018</v>
      </c>
      <c r="N392" t="str">
        <f t="shared" si="26"/>
        <v>Undrafted</v>
      </c>
    </row>
    <row r="393" spans="1:16" x14ac:dyDescent="0.35">
      <c r="A393" t="s">
        <v>824</v>
      </c>
      <c r="B393" t="s">
        <v>825</v>
      </c>
      <c r="C393" t="str">
        <f>CONCATENATE(A393, " ",B393)</f>
        <v>Scotty Pippen Jr.</v>
      </c>
      <c r="D393" t="s">
        <v>28</v>
      </c>
      <c r="E393" s="2">
        <v>45078</v>
      </c>
      <c r="F393" s="3">
        <f t="shared" si="24"/>
        <v>6</v>
      </c>
      <c r="G393" s="3">
        <f t="shared" si="27"/>
        <v>1</v>
      </c>
      <c r="H393" s="2" t="str">
        <f t="shared" si="25"/>
        <v>6' 1"</v>
      </c>
      <c r="I393">
        <v>170</v>
      </c>
      <c r="J393" s="1">
        <v>36840</v>
      </c>
      <c r="K393" t="s">
        <v>24</v>
      </c>
      <c r="L393" t="s">
        <v>429</v>
      </c>
      <c r="M393">
        <v>2022</v>
      </c>
      <c r="N393" t="str">
        <f t="shared" si="26"/>
        <v>Undrafted</v>
      </c>
    </row>
    <row r="394" spans="1:16" x14ac:dyDescent="0.35">
      <c r="A394" t="s">
        <v>826</v>
      </c>
      <c r="B394" t="s">
        <v>827</v>
      </c>
      <c r="C394" t="str">
        <f>CONCATENATE(A394, " ",B394)</f>
        <v>Mason Plumlee</v>
      </c>
      <c r="D394" t="s">
        <v>32</v>
      </c>
      <c r="E394" s="2">
        <v>36708</v>
      </c>
      <c r="F394" s="3">
        <f t="shared" si="24"/>
        <v>7</v>
      </c>
      <c r="G394" s="3">
        <f t="shared" si="27"/>
        <v>1</v>
      </c>
      <c r="H394" s="2" t="str">
        <f t="shared" si="25"/>
        <v>7' 1"</v>
      </c>
      <c r="I394">
        <v>254</v>
      </c>
      <c r="J394" s="1">
        <v>32937</v>
      </c>
      <c r="K394" t="s">
        <v>24</v>
      </c>
      <c r="L394" t="s">
        <v>41</v>
      </c>
      <c r="M394">
        <v>2013</v>
      </c>
      <c r="N394" t="str">
        <f t="shared" si="26"/>
        <v>Drafted</v>
      </c>
      <c r="O394">
        <v>1</v>
      </c>
      <c r="P394">
        <v>22</v>
      </c>
    </row>
    <row r="395" spans="1:16" x14ac:dyDescent="0.35">
      <c r="A395" t="s">
        <v>828</v>
      </c>
      <c r="B395" t="s">
        <v>829</v>
      </c>
      <c r="C395" t="str">
        <f>CONCATENATE(A395, " ",B395)</f>
        <v>Jakob Poeltl</v>
      </c>
      <c r="D395" t="s">
        <v>18</v>
      </c>
      <c r="E395" s="2">
        <v>45108</v>
      </c>
      <c r="F395" s="3">
        <f t="shared" si="24"/>
        <v>7</v>
      </c>
      <c r="G395" s="3">
        <f t="shared" si="27"/>
        <v>1</v>
      </c>
      <c r="H395" s="2" t="str">
        <f t="shared" si="25"/>
        <v>7' 1"</v>
      </c>
      <c r="I395">
        <v>245</v>
      </c>
      <c r="J395" s="1">
        <v>34987</v>
      </c>
      <c r="K395" t="s">
        <v>830</v>
      </c>
      <c r="L395" t="s">
        <v>635</v>
      </c>
      <c r="M395">
        <v>2016</v>
      </c>
      <c r="N395" t="str">
        <f t="shared" si="26"/>
        <v>Drafted</v>
      </c>
      <c r="O395">
        <v>1</v>
      </c>
      <c r="P395">
        <v>9</v>
      </c>
    </row>
    <row r="396" spans="1:16" x14ac:dyDescent="0.35">
      <c r="A396" t="s">
        <v>831</v>
      </c>
      <c r="B396" t="s">
        <v>832</v>
      </c>
      <c r="C396" t="str">
        <f>CONCATENATE(A396, " ",B396)</f>
        <v>Aleksej Pokusevski</v>
      </c>
      <c r="D396" t="s">
        <v>13</v>
      </c>
      <c r="E396" s="2">
        <v>36708</v>
      </c>
      <c r="F396" s="3">
        <f t="shared" si="24"/>
        <v>7</v>
      </c>
      <c r="G396" s="3">
        <f t="shared" si="27"/>
        <v>1</v>
      </c>
      <c r="H396" s="2" t="str">
        <f t="shared" si="25"/>
        <v>7' 1"</v>
      </c>
      <c r="I396">
        <v>210</v>
      </c>
      <c r="J396" s="1">
        <v>37251</v>
      </c>
      <c r="K396" t="s">
        <v>160</v>
      </c>
      <c r="L396" t="s">
        <v>833</v>
      </c>
      <c r="M396">
        <v>2020</v>
      </c>
      <c r="N396" t="str">
        <f t="shared" si="26"/>
        <v>Drafted</v>
      </c>
      <c r="O396">
        <v>1</v>
      </c>
      <c r="P396">
        <v>17</v>
      </c>
    </row>
    <row r="397" spans="1:16" x14ac:dyDescent="0.35">
      <c r="A397" t="s">
        <v>276</v>
      </c>
      <c r="B397" t="s">
        <v>834</v>
      </c>
      <c r="C397" t="str">
        <f>CONCATENATE(A397, " ",B397)</f>
        <v>Jordan Poole</v>
      </c>
      <c r="D397" t="s">
        <v>28</v>
      </c>
      <c r="E397" s="2">
        <v>45081</v>
      </c>
      <c r="F397" s="3">
        <f t="shared" si="24"/>
        <v>6</v>
      </c>
      <c r="G397" s="3">
        <f t="shared" si="27"/>
        <v>4</v>
      </c>
      <c r="H397" s="2" t="str">
        <f t="shared" si="25"/>
        <v>6' 4"</v>
      </c>
      <c r="I397">
        <v>194</v>
      </c>
      <c r="J397" s="1">
        <v>36330</v>
      </c>
      <c r="K397" t="s">
        <v>24</v>
      </c>
      <c r="L397" t="s">
        <v>337</v>
      </c>
      <c r="M397">
        <v>2019</v>
      </c>
      <c r="N397" t="str">
        <f t="shared" si="26"/>
        <v>Drafted</v>
      </c>
      <c r="O397">
        <v>1</v>
      </c>
      <c r="P397">
        <v>28</v>
      </c>
    </row>
    <row r="398" spans="1:16" x14ac:dyDescent="0.35">
      <c r="A398" t="s">
        <v>380</v>
      </c>
      <c r="B398" t="s">
        <v>835</v>
      </c>
      <c r="C398" t="str">
        <f>CONCATENATE(A398, " ",B398)</f>
        <v>Kevin Porter Jr.</v>
      </c>
      <c r="D398" t="s">
        <v>122</v>
      </c>
      <c r="E398" s="2">
        <v>45081</v>
      </c>
      <c r="F398" s="3">
        <f t="shared" si="24"/>
        <v>6</v>
      </c>
      <c r="G398" s="3">
        <f t="shared" si="27"/>
        <v>4</v>
      </c>
      <c r="H398" s="2" t="str">
        <f t="shared" si="25"/>
        <v>6' 4"</v>
      </c>
      <c r="I398">
        <v>203</v>
      </c>
      <c r="J398" s="1">
        <v>36650</v>
      </c>
      <c r="K398" t="s">
        <v>24</v>
      </c>
      <c r="L398" t="s">
        <v>328</v>
      </c>
      <c r="M398">
        <v>2019</v>
      </c>
      <c r="N398" t="str">
        <f t="shared" si="26"/>
        <v>Drafted</v>
      </c>
      <c r="O398">
        <v>1</v>
      </c>
      <c r="P398">
        <v>30</v>
      </c>
    </row>
    <row r="399" spans="1:16" x14ac:dyDescent="0.35">
      <c r="A399" t="s">
        <v>254</v>
      </c>
      <c r="B399" t="s">
        <v>835</v>
      </c>
      <c r="C399" t="str">
        <f>CONCATENATE(A399, " ",B399)</f>
        <v>Michael Porter Jr.</v>
      </c>
      <c r="D399" t="s">
        <v>13</v>
      </c>
      <c r="E399" s="2">
        <v>45087</v>
      </c>
      <c r="F399" s="3">
        <f t="shared" si="24"/>
        <v>6</v>
      </c>
      <c r="G399" s="3">
        <f t="shared" si="27"/>
        <v>10</v>
      </c>
      <c r="H399" s="2" t="str">
        <f t="shared" si="25"/>
        <v>6' 10"</v>
      </c>
      <c r="I399">
        <v>218</v>
      </c>
      <c r="J399" s="1">
        <v>35975</v>
      </c>
      <c r="K399" t="s">
        <v>24</v>
      </c>
      <c r="L399" t="s">
        <v>278</v>
      </c>
      <c r="M399">
        <v>2018</v>
      </c>
      <c r="N399" t="str">
        <f t="shared" si="26"/>
        <v>Drafted</v>
      </c>
      <c r="O399">
        <v>1</v>
      </c>
      <c r="P399">
        <v>14</v>
      </c>
    </row>
    <row r="400" spans="1:16" x14ac:dyDescent="0.35">
      <c r="A400" t="s">
        <v>836</v>
      </c>
      <c r="B400" t="s">
        <v>835</v>
      </c>
      <c r="C400" t="str">
        <f>CONCATENATE(A400, " ",B400)</f>
        <v>Otto Porter Jr.</v>
      </c>
      <c r="D400" t="s">
        <v>13</v>
      </c>
      <c r="E400" s="2">
        <v>45085</v>
      </c>
      <c r="F400" s="3">
        <f t="shared" si="24"/>
        <v>6</v>
      </c>
      <c r="G400" s="3">
        <f t="shared" si="27"/>
        <v>8</v>
      </c>
      <c r="H400" s="2" t="str">
        <f t="shared" si="25"/>
        <v>6' 8"</v>
      </c>
      <c r="I400">
        <v>198</v>
      </c>
      <c r="J400" s="1">
        <v>34123</v>
      </c>
      <c r="K400" t="s">
        <v>24</v>
      </c>
      <c r="L400" t="s">
        <v>470</v>
      </c>
      <c r="M400">
        <v>2013</v>
      </c>
      <c r="N400" t="str">
        <f t="shared" si="26"/>
        <v>Drafted</v>
      </c>
      <c r="O400">
        <v>1</v>
      </c>
      <c r="P400">
        <v>3</v>
      </c>
    </row>
    <row r="401" spans="1:16" x14ac:dyDescent="0.35">
      <c r="A401" t="s">
        <v>837</v>
      </c>
      <c r="B401" t="s">
        <v>838</v>
      </c>
      <c r="C401" t="str">
        <f>CONCATENATE(A401, " ",B401)</f>
        <v>Bobby Portis</v>
      </c>
      <c r="D401" t="s">
        <v>13</v>
      </c>
      <c r="E401" s="2">
        <v>45088</v>
      </c>
      <c r="F401" s="3">
        <f t="shared" si="24"/>
        <v>6</v>
      </c>
      <c r="G401" s="3">
        <f t="shared" si="27"/>
        <v>11</v>
      </c>
      <c r="H401" s="2" t="str">
        <f t="shared" si="25"/>
        <v>6' 11"</v>
      </c>
      <c r="I401">
        <v>250</v>
      </c>
      <c r="J401" s="1">
        <v>34740</v>
      </c>
      <c r="K401" t="s">
        <v>24</v>
      </c>
      <c r="L401" t="s">
        <v>141</v>
      </c>
      <c r="M401">
        <v>2015</v>
      </c>
      <c r="N401" t="str">
        <f t="shared" si="26"/>
        <v>Drafted</v>
      </c>
      <c r="O401">
        <v>1</v>
      </c>
      <c r="P401">
        <v>22</v>
      </c>
    </row>
    <row r="402" spans="1:16" x14ac:dyDescent="0.35">
      <c r="A402" t="s">
        <v>839</v>
      </c>
      <c r="B402" t="s">
        <v>840</v>
      </c>
      <c r="C402" t="str">
        <f>CONCATENATE(A402, " ",B402)</f>
        <v>Kristaps Porzingis</v>
      </c>
      <c r="D402" t="s">
        <v>32</v>
      </c>
      <c r="E402" s="2">
        <v>45110</v>
      </c>
      <c r="F402" s="3">
        <f t="shared" si="24"/>
        <v>7</v>
      </c>
      <c r="G402" s="3">
        <f t="shared" si="27"/>
        <v>3</v>
      </c>
      <c r="H402" s="2" t="str">
        <f t="shared" si="25"/>
        <v>7' 3"</v>
      </c>
      <c r="I402">
        <v>240</v>
      </c>
      <c r="J402" s="1">
        <v>34913</v>
      </c>
      <c r="K402" t="s">
        <v>138</v>
      </c>
      <c r="L402" t="s">
        <v>521</v>
      </c>
      <c r="M402">
        <v>2015</v>
      </c>
      <c r="N402" t="str">
        <f t="shared" si="26"/>
        <v>Drafted</v>
      </c>
      <c r="O402">
        <v>1</v>
      </c>
      <c r="P402">
        <v>4</v>
      </c>
    </row>
    <row r="403" spans="1:16" x14ac:dyDescent="0.35">
      <c r="A403" t="s">
        <v>841</v>
      </c>
      <c r="B403" t="s">
        <v>842</v>
      </c>
      <c r="C403" t="str">
        <f>CONCATENATE(A403, " ",B403)</f>
        <v>Micah Potter</v>
      </c>
      <c r="D403" t="s">
        <v>18</v>
      </c>
      <c r="E403" s="2">
        <v>45085</v>
      </c>
      <c r="F403" s="3">
        <f t="shared" si="24"/>
        <v>6</v>
      </c>
      <c r="G403" s="3">
        <f t="shared" si="27"/>
        <v>8</v>
      </c>
      <c r="H403" s="2" t="str">
        <f t="shared" si="25"/>
        <v>6' 8"</v>
      </c>
      <c r="I403">
        <v>248</v>
      </c>
      <c r="J403" s="1">
        <v>35891</v>
      </c>
      <c r="K403" t="s">
        <v>24</v>
      </c>
      <c r="L403" t="s">
        <v>318</v>
      </c>
      <c r="M403">
        <v>2021</v>
      </c>
      <c r="N403" t="str">
        <f t="shared" si="26"/>
        <v>Undrafted</v>
      </c>
    </row>
    <row r="404" spans="1:16" x14ac:dyDescent="0.35">
      <c r="A404" t="s">
        <v>843</v>
      </c>
      <c r="B404" t="s">
        <v>844</v>
      </c>
      <c r="C404" t="str">
        <f>CONCATENATE(A404, " ",B404)</f>
        <v>Dwight Powell</v>
      </c>
      <c r="D404" t="s">
        <v>32</v>
      </c>
      <c r="E404" s="2">
        <v>45087</v>
      </c>
      <c r="F404" s="3">
        <f t="shared" si="24"/>
        <v>6</v>
      </c>
      <c r="G404" s="3">
        <f t="shared" si="27"/>
        <v>10</v>
      </c>
      <c r="H404" s="2" t="str">
        <f t="shared" si="25"/>
        <v>6' 10"</v>
      </c>
      <c r="I404">
        <v>240</v>
      </c>
      <c r="J404" s="1">
        <v>33439</v>
      </c>
      <c r="K404" t="s">
        <v>37</v>
      </c>
      <c r="L404" t="s">
        <v>674</v>
      </c>
      <c r="M404">
        <v>2014</v>
      </c>
      <c r="N404" t="str">
        <f t="shared" si="26"/>
        <v>Drafted</v>
      </c>
      <c r="O404">
        <v>2</v>
      </c>
      <c r="P404">
        <v>45</v>
      </c>
    </row>
    <row r="405" spans="1:16" x14ac:dyDescent="0.35">
      <c r="A405" t="s">
        <v>845</v>
      </c>
      <c r="B405" t="s">
        <v>844</v>
      </c>
      <c r="C405" t="str">
        <f>CONCATENATE(A405, " ",B405)</f>
        <v>Norman Powell</v>
      </c>
      <c r="D405" t="s">
        <v>28</v>
      </c>
      <c r="E405" s="2">
        <v>45081</v>
      </c>
      <c r="F405" s="3">
        <f t="shared" si="24"/>
        <v>6</v>
      </c>
      <c r="G405" s="3">
        <f t="shared" si="27"/>
        <v>4</v>
      </c>
      <c r="H405" s="2" t="str">
        <f t="shared" si="25"/>
        <v>6' 4"</v>
      </c>
      <c r="I405">
        <v>215</v>
      </c>
      <c r="J405" s="1">
        <v>34114</v>
      </c>
      <c r="K405" t="s">
        <v>24</v>
      </c>
      <c r="L405" t="s">
        <v>50</v>
      </c>
      <c r="M405">
        <v>2015</v>
      </c>
      <c r="N405" t="str">
        <f t="shared" si="26"/>
        <v>Drafted</v>
      </c>
      <c r="O405">
        <v>2</v>
      </c>
      <c r="P405">
        <v>46</v>
      </c>
    </row>
    <row r="406" spans="1:16" x14ac:dyDescent="0.35">
      <c r="A406" t="s">
        <v>846</v>
      </c>
      <c r="B406" t="s">
        <v>847</v>
      </c>
      <c r="C406" t="str">
        <f>CONCATENATE(A406, " ",B406)</f>
        <v>Jason Preston</v>
      </c>
      <c r="D406" t="s">
        <v>28</v>
      </c>
      <c r="E406" s="2">
        <v>45080</v>
      </c>
      <c r="F406" s="3">
        <f t="shared" si="24"/>
        <v>6</v>
      </c>
      <c r="G406" s="3">
        <f t="shared" si="27"/>
        <v>3</v>
      </c>
      <c r="H406" s="2" t="str">
        <f t="shared" si="25"/>
        <v>6' 3"</v>
      </c>
      <c r="I406">
        <v>181</v>
      </c>
      <c r="J406" s="1">
        <v>36382</v>
      </c>
      <c r="K406" t="s">
        <v>24</v>
      </c>
      <c r="L406" t="s">
        <v>848</v>
      </c>
      <c r="M406">
        <v>2021</v>
      </c>
      <c r="N406" t="str">
        <f t="shared" si="26"/>
        <v>Drafted</v>
      </c>
      <c r="O406">
        <v>2</v>
      </c>
      <c r="P406">
        <v>33</v>
      </c>
    </row>
    <row r="407" spans="1:16" x14ac:dyDescent="0.35">
      <c r="A407" t="s">
        <v>849</v>
      </c>
      <c r="B407" t="s">
        <v>850</v>
      </c>
      <c r="C407" t="str">
        <f>CONCATENATE(A407, " ",B407)</f>
        <v>Joshua Primo</v>
      </c>
      <c r="D407" t="s">
        <v>28</v>
      </c>
      <c r="E407" s="2">
        <v>45083</v>
      </c>
      <c r="F407" s="3">
        <f t="shared" si="24"/>
        <v>6</v>
      </c>
      <c r="G407" s="3">
        <f t="shared" si="27"/>
        <v>6</v>
      </c>
      <c r="H407" s="2" t="str">
        <f t="shared" si="25"/>
        <v>6' 6"</v>
      </c>
      <c r="I407">
        <v>189</v>
      </c>
      <c r="J407" s="1">
        <v>37614</v>
      </c>
      <c r="K407" t="s">
        <v>37</v>
      </c>
      <c r="L407" t="s">
        <v>323</v>
      </c>
      <c r="M407">
        <v>2021</v>
      </c>
      <c r="N407" t="str">
        <f t="shared" si="26"/>
        <v>Drafted</v>
      </c>
      <c r="O407">
        <v>1</v>
      </c>
      <c r="P407">
        <v>12</v>
      </c>
    </row>
    <row r="408" spans="1:16" x14ac:dyDescent="0.35">
      <c r="A408" t="s">
        <v>851</v>
      </c>
      <c r="B408" t="s">
        <v>852</v>
      </c>
      <c r="C408" t="str">
        <f>CONCATENATE(A408, " ",B408)</f>
        <v>Taurean Prince</v>
      </c>
      <c r="D408" t="s">
        <v>13</v>
      </c>
      <c r="E408" s="2">
        <v>45083</v>
      </c>
      <c r="F408" s="3">
        <f t="shared" si="24"/>
        <v>6</v>
      </c>
      <c r="G408" s="3">
        <f t="shared" si="27"/>
        <v>6</v>
      </c>
      <c r="H408" s="2" t="str">
        <f t="shared" si="25"/>
        <v>6' 6"</v>
      </c>
      <c r="I408">
        <v>218</v>
      </c>
      <c r="J408" s="1">
        <v>34415</v>
      </c>
      <c r="K408" t="s">
        <v>24</v>
      </c>
      <c r="L408" t="s">
        <v>206</v>
      </c>
      <c r="M408">
        <v>2016</v>
      </c>
      <c r="N408" t="str">
        <f t="shared" si="26"/>
        <v>Drafted</v>
      </c>
      <c r="O408">
        <v>1</v>
      </c>
      <c r="P408">
        <v>12</v>
      </c>
    </row>
    <row r="409" spans="1:16" x14ac:dyDescent="0.35">
      <c r="A409" t="s">
        <v>853</v>
      </c>
      <c r="B409" t="s">
        <v>854</v>
      </c>
      <c r="C409" t="str">
        <f>CONCATENATE(A409, " ",B409)</f>
        <v>Payton Pritchard</v>
      </c>
      <c r="D409" t="s">
        <v>28</v>
      </c>
      <c r="E409" s="2">
        <v>45078</v>
      </c>
      <c r="F409" s="3">
        <f t="shared" si="24"/>
        <v>6</v>
      </c>
      <c r="G409" s="3">
        <f t="shared" si="27"/>
        <v>1</v>
      </c>
      <c r="H409" s="2" t="str">
        <f t="shared" si="25"/>
        <v>6' 1"</v>
      </c>
      <c r="I409">
        <v>195</v>
      </c>
      <c r="J409" s="1">
        <v>35823</v>
      </c>
      <c r="K409" t="s">
        <v>24</v>
      </c>
      <c r="L409" t="s">
        <v>166</v>
      </c>
      <c r="M409">
        <v>2020</v>
      </c>
      <c r="N409" t="str">
        <f t="shared" si="26"/>
        <v>Drafted</v>
      </c>
      <c r="O409">
        <v>1</v>
      </c>
      <c r="P409">
        <v>26</v>
      </c>
    </row>
    <row r="410" spans="1:16" x14ac:dyDescent="0.35">
      <c r="A410" t="s">
        <v>855</v>
      </c>
      <c r="B410" t="s">
        <v>856</v>
      </c>
      <c r="C410" t="str">
        <f>CONCATENATE(A410, " ",B410)</f>
        <v>Trevelin Queen</v>
      </c>
      <c r="D410" t="s">
        <v>28</v>
      </c>
      <c r="E410" s="2">
        <v>45083</v>
      </c>
      <c r="F410" s="3">
        <f t="shared" si="24"/>
        <v>6</v>
      </c>
      <c r="G410" s="3">
        <f t="shared" si="27"/>
        <v>6</v>
      </c>
      <c r="H410" s="2" t="str">
        <f t="shared" si="25"/>
        <v>6' 6"</v>
      </c>
      <c r="I410">
        <v>190</v>
      </c>
      <c r="J410" s="1">
        <v>35486</v>
      </c>
      <c r="K410" t="s">
        <v>24</v>
      </c>
      <c r="L410" t="s">
        <v>857</v>
      </c>
      <c r="M410">
        <v>2021</v>
      </c>
      <c r="N410" t="str">
        <f t="shared" si="26"/>
        <v>Undrafted</v>
      </c>
    </row>
    <row r="411" spans="1:16" x14ac:dyDescent="0.35">
      <c r="A411" t="s">
        <v>858</v>
      </c>
      <c r="B411" t="s">
        <v>859</v>
      </c>
      <c r="C411" t="str">
        <f>CONCATENATE(A411, " ",B411)</f>
        <v>Neemias Queta</v>
      </c>
      <c r="D411" t="s">
        <v>18</v>
      </c>
      <c r="E411" s="2">
        <v>36708</v>
      </c>
      <c r="F411" s="3">
        <f t="shared" si="24"/>
        <v>7</v>
      </c>
      <c r="G411" s="3">
        <f t="shared" si="27"/>
        <v>1</v>
      </c>
      <c r="H411" s="2" t="str">
        <f t="shared" si="25"/>
        <v>7' 1"</v>
      </c>
      <c r="I411">
        <v>248</v>
      </c>
      <c r="J411" s="1">
        <v>36354</v>
      </c>
      <c r="K411" t="s">
        <v>860</v>
      </c>
      <c r="L411" t="s">
        <v>735</v>
      </c>
      <c r="M411">
        <v>2021</v>
      </c>
      <c r="N411" t="str">
        <f t="shared" si="26"/>
        <v>Drafted</v>
      </c>
      <c r="O411">
        <v>2</v>
      </c>
      <c r="P411">
        <v>39</v>
      </c>
    </row>
    <row r="412" spans="1:16" x14ac:dyDescent="0.35">
      <c r="A412" t="s">
        <v>861</v>
      </c>
      <c r="B412" t="s">
        <v>862</v>
      </c>
      <c r="C412" t="str">
        <f>CONCATENATE(A412, " ",B412)</f>
        <v>Immanuel Quickley</v>
      </c>
      <c r="D412" t="s">
        <v>28</v>
      </c>
      <c r="E412" s="2">
        <v>45079</v>
      </c>
      <c r="F412" s="3">
        <f t="shared" si="24"/>
        <v>6</v>
      </c>
      <c r="G412" s="3">
        <f t="shared" si="27"/>
        <v>2</v>
      </c>
      <c r="H412" s="2" t="str">
        <f t="shared" si="25"/>
        <v>6' 2"</v>
      </c>
      <c r="I412">
        <v>190</v>
      </c>
      <c r="J412" s="1">
        <v>36328</v>
      </c>
      <c r="K412" t="s">
        <v>24</v>
      </c>
      <c r="L412" t="s">
        <v>25</v>
      </c>
      <c r="M412">
        <v>2020</v>
      </c>
      <c r="N412" t="str">
        <f t="shared" si="26"/>
        <v>Drafted</v>
      </c>
      <c r="O412">
        <v>1</v>
      </c>
      <c r="P412">
        <v>25</v>
      </c>
    </row>
    <row r="413" spans="1:16" x14ac:dyDescent="0.35">
      <c r="A413" t="s">
        <v>863</v>
      </c>
      <c r="B413" t="s">
        <v>864</v>
      </c>
      <c r="C413" t="str">
        <f>CONCATENATE(A413, " ",B413)</f>
        <v>Lester Quinones</v>
      </c>
      <c r="D413" t="s">
        <v>28</v>
      </c>
      <c r="E413" s="2">
        <v>45081</v>
      </c>
      <c r="F413" s="3">
        <f t="shared" si="24"/>
        <v>6</v>
      </c>
      <c r="G413" s="3">
        <f t="shared" si="27"/>
        <v>4</v>
      </c>
      <c r="H413" s="2" t="str">
        <f t="shared" si="25"/>
        <v>6' 4"</v>
      </c>
      <c r="I413">
        <v>208</v>
      </c>
      <c r="J413" s="1">
        <v>36846</v>
      </c>
      <c r="K413" t="s">
        <v>24</v>
      </c>
      <c r="L413" t="s">
        <v>15</v>
      </c>
      <c r="M413">
        <v>2022</v>
      </c>
      <c r="N413" t="str">
        <f t="shared" si="26"/>
        <v>Undrafted</v>
      </c>
    </row>
    <row r="414" spans="1:16" x14ac:dyDescent="0.35">
      <c r="A414" t="s">
        <v>865</v>
      </c>
      <c r="B414" t="s">
        <v>866</v>
      </c>
      <c r="C414" t="str">
        <f>CONCATENATE(A414, " ",B414)</f>
        <v>Julius Randle</v>
      </c>
      <c r="D414" t="s">
        <v>32</v>
      </c>
      <c r="E414" s="2">
        <v>45085</v>
      </c>
      <c r="F414" s="3">
        <f t="shared" si="24"/>
        <v>6</v>
      </c>
      <c r="G414" s="3">
        <f t="shared" si="27"/>
        <v>8</v>
      </c>
      <c r="H414" s="2" t="str">
        <f t="shared" si="25"/>
        <v>6' 8"</v>
      </c>
      <c r="I414">
        <v>250</v>
      </c>
      <c r="J414" s="1">
        <v>34667</v>
      </c>
      <c r="K414" t="s">
        <v>24</v>
      </c>
      <c r="L414" t="s">
        <v>25</v>
      </c>
      <c r="M414">
        <v>2014</v>
      </c>
      <c r="N414" t="str">
        <f t="shared" si="26"/>
        <v>Drafted</v>
      </c>
      <c r="O414">
        <v>1</v>
      </c>
      <c r="P414">
        <v>7</v>
      </c>
    </row>
    <row r="415" spans="1:16" x14ac:dyDescent="0.35">
      <c r="A415" t="s">
        <v>867</v>
      </c>
      <c r="B415" t="s">
        <v>868</v>
      </c>
      <c r="C415" t="str">
        <f>CONCATENATE(A415, " ",B415)</f>
        <v>Austin Reaves</v>
      </c>
      <c r="D415" t="s">
        <v>28</v>
      </c>
      <c r="E415" s="2">
        <v>45082</v>
      </c>
      <c r="F415" s="3">
        <f t="shared" si="24"/>
        <v>6</v>
      </c>
      <c r="G415" s="3">
        <f t="shared" si="27"/>
        <v>5</v>
      </c>
      <c r="H415" s="2" t="str">
        <f t="shared" si="25"/>
        <v>6' 5"</v>
      </c>
      <c r="I415">
        <v>197</v>
      </c>
      <c r="J415" s="1">
        <v>35944</v>
      </c>
      <c r="K415" t="s">
        <v>24</v>
      </c>
      <c r="L415" t="s">
        <v>473</v>
      </c>
      <c r="M415">
        <v>2021</v>
      </c>
      <c r="N415" t="str">
        <f t="shared" si="26"/>
        <v>Undrafted</v>
      </c>
    </row>
    <row r="416" spans="1:16" x14ac:dyDescent="0.35">
      <c r="A416" t="s">
        <v>869</v>
      </c>
      <c r="B416" t="s">
        <v>870</v>
      </c>
      <c r="C416" t="str">
        <f>CONCATENATE(A416, " ",B416)</f>
        <v>Cam Reddish</v>
      </c>
      <c r="D416" t="s">
        <v>49</v>
      </c>
      <c r="E416" s="2">
        <v>45084</v>
      </c>
      <c r="F416" s="3">
        <f t="shared" si="24"/>
        <v>6</v>
      </c>
      <c r="G416" s="3">
        <f t="shared" si="27"/>
        <v>7</v>
      </c>
      <c r="H416" s="2" t="str">
        <f t="shared" si="25"/>
        <v>6' 7"</v>
      </c>
      <c r="I416">
        <v>217</v>
      </c>
      <c r="J416" s="1">
        <v>36404</v>
      </c>
      <c r="K416" t="s">
        <v>24</v>
      </c>
      <c r="L416" t="s">
        <v>41</v>
      </c>
      <c r="M416">
        <v>2019</v>
      </c>
      <c r="N416" t="str">
        <f t="shared" si="26"/>
        <v>Drafted</v>
      </c>
      <c r="O416">
        <v>1</v>
      </c>
      <c r="P416">
        <v>10</v>
      </c>
    </row>
    <row r="417" spans="1:16" x14ac:dyDescent="0.35">
      <c r="A417" t="s">
        <v>871</v>
      </c>
      <c r="B417" t="s">
        <v>872</v>
      </c>
      <c r="C417" t="str">
        <f>CONCATENATE(A417, " ",B417)</f>
        <v>Davon Reed</v>
      </c>
      <c r="D417" t="s">
        <v>28</v>
      </c>
      <c r="E417" s="2">
        <v>45082</v>
      </c>
      <c r="F417" s="3">
        <f t="shared" si="24"/>
        <v>6</v>
      </c>
      <c r="G417" s="3">
        <f t="shared" si="27"/>
        <v>5</v>
      </c>
      <c r="H417" s="2" t="str">
        <f t="shared" si="25"/>
        <v>6' 5"</v>
      </c>
      <c r="I417">
        <v>206</v>
      </c>
      <c r="J417" s="1">
        <v>34861</v>
      </c>
      <c r="K417" t="s">
        <v>24</v>
      </c>
      <c r="L417" t="s">
        <v>202</v>
      </c>
      <c r="M417">
        <v>2017</v>
      </c>
      <c r="N417" t="str">
        <f t="shared" si="26"/>
        <v>Drafted</v>
      </c>
      <c r="O417">
        <v>2</v>
      </c>
      <c r="P417">
        <v>32</v>
      </c>
    </row>
    <row r="418" spans="1:16" x14ac:dyDescent="0.35">
      <c r="A418" t="s">
        <v>436</v>
      </c>
      <c r="B418" t="s">
        <v>872</v>
      </c>
      <c r="C418" t="str">
        <f>CONCATENATE(A418, " ",B418)</f>
        <v>Paul Reed</v>
      </c>
      <c r="D418" t="s">
        <v>13</v>
      </c>
      <c r="E418" s="2">
        <v>45086</v>
      </c>
      <c r="F418" s="3">
        <f t="shared" si="24"/>
        <v>6</v>
      </c>
      <c r="G418" s="3">
        <f t="shared" si="27"/>
        <v>9</v>
      </c>
      <c r="H418" s="2" t="str">
        <f t="shared" si="25"/>
        <v>6' 9"</v>
      </c>
      <c r="I418">
        <v>210</v>
      </c>
      <c r="J418" s="1">
        <v>36325</v>
      </c>
      <c r="K418" t="s">
        <v>24</v>
      </c>
      <c r="L418" t="s">
        <v>873</v>
      </c>
      <c r="M418">
        <v>2020</v>
      </c>
      <c r="N418" t="str">
        <f t="shared" si="26"/>
        <v>Drafted</v>
      </c>
      <c r="O418">
        <v>2</v>
      </c>
      <c r="P418">
        <v>58</v>
      </c>
    </row>
    <row r="419" spans="1:16" x14ac:dyDescent="0.35">
      <c r="A419" t="s">
        <v>874</v>
      </c>
      <c r="B419" t="s">
        <v>875</v>
      </c>
      <c r="C419" t="str">
        <f>CONCATENATE(A419, " ",B419)</f>
        <v>Naz Reid</v>
      </c>
      <c r="D419" t="s">
        <v>23</v>
      </c>
      <c r="E419" s="2">
        <v>45086</v>
      </c>
      <c r="F419" s="3">
        <f t="shared" si="24"/>
        <v>6</v>
      </c>
      <c r="G419" s="3">
        <f t="shared" si="27"/>
        <v>9</v>
      </c>
      <c r="H419" s="2" t="str">
        <f t="shared" si="25"/>
        <v>6' 9"</v>
      </c>
      <c r="I419">
        <v>264</v>
      </c>
      <c r="J419" s="1">
        <v>36398</v>
      </c>
      <c r="K419" t="s">
        <v>24</v>
      </c>
      <c r="L419" t="s">
        <v>325</v>
      </c>
      <c r="M419">
        <v>2019</v>
      </c>
      <c r="N419" t="str">
        <f t="shared" si="26"/>
        <v>Undrafted</v>
      </c>
    </row>
    <row r="420" spans="1:16" x14ac:dyDescent="0.35">
      <c r="A420" t="s">
        <v>226</v>
      </c>
      <c r="B420" t="s">
        <v>876</v>
      </c>
      <c r="C420" t="str">
        <f>CONCATENATE(A420, " ",B420)</f>
        <v>Jared Rhoden</v>
      </c>
      <c r="D420" t="s">
        <v>28</v>
      </c>
      <c r="E420" s="2">
        <v>45083</v>
      </c>
      <c r="F420" s="3">
        <f t="shared" si="24"/>
        <v>6</v>
      </c>
      <c r="G420" s="3">
        <f t="shared" si="27"/>
        <v>6</v>
      </c>
      <c r="H420" s="2" t="str">
        <f t="shared" si="25"/>
        <v>6' 6"</v>
      </c>
      <c r="I420">
        <v>210</v>
      </c>
      <c r="J420" s="1">
        <v>36399</v>
      </c>
      <c r="K420" t="s">
        <v>24</v>
      </c>
      <c r="L420" t="s">
        <v>685</v>
      </c>
      <c r="M420">
        <v>2022</v>
      </c>
      <c r="N420" t="str">
        <f t="shared" si="26"/>
        <v>Undrafted</v>
      </c>
    </row>
    <row r="421" spans="1:16" x14ac:dyDescent="0.35">
      <c r="A421" t="s">
        <v>877</v>
      </c>
      <c r="B421" t="s">
        <v>878</v>
      </c>
      <c r="C421" t="str">
        <f>CONCATENATE(A421, " ",B421)</f>
        <v>Nick Richards</v>
      </c>
      <c r="D421" t="s">
        <v>18</v>
      </c>
      <c r="E421" s="2">
        <v>36708</v>
      </c>
      <c r="F421" s="3">
        <f t="shared" si="24"/>
        <v>7</v>
      </c>
      <c r="G421" s="3">
        <f t="shared" si="27"/>
        <v>1</v>
      </c>
      <c r="H421" s="2" t="str">
        <f t="shared" si="25"/>
        <v>7' 1"</v>
      </c>
      <c r="I421">
        <v>245</v>
      </c>
      <c r="J421" s="1">
        <v>35763</v>
      </c>
      <c r="K421" t="s">
        <v>879</v>
      </c>
      <c r="L421" t="s">
        <v>25</v>
      </c>
      <c r="M421">
        <v>2020</v>
      </c>
      <c r="N421" t="str">
        <f t="shared" si="26"/>
        <v>Drafted</v>
      </c>
      <c r="O421">
        <v>2</v>
      </c>
      <c r="P421">
        <v>42</v>
      </c>
    </row>
    <row r="422" spans="1:16" x14ac:dyDescent="0.35">
      <c r="A422" t="s">
        <v>271</v>
      </c>
      <c r="B422" t="s">
        <v>880</v>
      </c>
      <c r="C422" t="str">
        <f>CONCATENATE(A422, " ",B422)</f>
        <v>Josh Richardson</v>
      </c>
      <c r="D422" t="s">
        <v>28</v>
      </c>
      <c r="E422" s="2">
        <v>45083</v>
      </c>
      <c r="F422" s="3">
        <f t="shared" si="24"/>
        <v>6</v>
      </c>
      <c r="G422" s="3">
        <f t="shared" si="27"/>
        <v>6</v>
      </c>
      <c r="H422" s="2" t="str">
        <f t="shared" si="25"/>
        <v>6' 6"</v>
      </c>
      <c r="I422">
        <v>200</v>
      </c>
      <c r="J422" s="1">
        <v>34227</v>
      </c>
      <c r="K422" t="s">
        <v>24</v>
      </c>
      <c r="L422" t="s">
        <v>267</v>
      </c>
      <c r="M422">
        <v>2015</v>
      </c>
      <c r="N422" t="str">
        <f t="shared" si="26"/>
        <v>Drafted</v>
      </c>
      <c r="O422">
        <v>2</v>
      </c>
      <c r="P422">
        <v>40</v>
      </c>
    </row>
    <row r="423" spans="1:16" x14ac:dyDescent="0.35">
      <c r="A423" t="s">
        <v>867</v>
      </c>
      <c r="B423" t="s">
        <v>881</v>
      </c>
      <c r="C423" t="str">
        <f>CONCATENATE(A423, " ",B423)</f>
        <v>Austin Rivers</v>
      </c>
      <c r="D423" t="s">
        <v>28</v>
      </c>
      <c r="E423" s="2">
        <v>45081</v>
      </c>
      <c r="F423" s="3">
        <f t="shared" si="24"/>
        <v>6</v>
      </c>
      <c r="G423" s="3">
        <f t="shared" si="27"/>
        <v>4</v>
      </c>
      <c r="H423" s="2" t="str">
        <f t="shared" si="25"/>
        <v>6' 4"</v>
      </c>
      <c r="I423">
        <v>200</v>
      </c>
      <c r="J423" s="1">
        <v>33817</v>
      </c>
      <c r="K423" t="s">
        <v>24</v>
      </c>
      <c r="L423" t="s">
        <v>41</v>
      </c>
      <c r="M423">
        <v>2012</v>
      </c>
      <c r="N423" t="str">
        <f t="shared" si="26"/>
        <v>Drafted</v>
      </c>
      <c r="O423">
        <v>1</v>
      </c>
      <c r="P423">
        <v>10</v>
      </c>
    </row>
    <row r="424" spans="1:16" x14ac:dyDescent="0.35">
      <c r="A424" t="s">
        <v>882</v>
      </c>
      <c r="B424" t="s">
        <v>883</v>
      </c>
      <c r="C424" t="str">
        <f>CONCATENATE(A424, " ",B424)</f>
        <v>Duncan Robinson</v>
      </c>
      <c r="D424" t="s">
        <v>13</v>
      </c>
      <c r="E424" s="2">
        <v>45084</v>
      </c>
      <c r="F424" s="3">
        <f t="shared" si="24"/>
        <v>6</v>
      </c>
      <c r="G424" s="3">
        <f t="shared" si="27"/>
        <v>7</v>
      </c>
      <c r="H424" s="2" t="str">
        <f t="shared" si="25"/>
        <v>6' 7"</v>
      </c>
      <c r="I424">
        <v>215</v>
      </c>
      <c r="J424" s="1">
        <v>34446</v>
      </c>
      <c r="K424" t="s">
        <v>24</v>
      </c>
      <c r="L424" t="s">
        <v>337</v>
      </c>
      <c r="M424">
        <v>2018</v>
      </c>
      <c r="N424" t="str">
        <f t="shared" si="26"/>
        <v>Undrafted</v>
      </c>
    </row>
    <row r="425" spans="1:16" x14ac:dyDescent="0.35">
      <c r="A425" t="s">
        <v>747</v>
      </c>
      <c r="B425" t="s">
        <v>883</v>
      </c>
      <c r="C425" t="str">
        <f>CONCATENATE(A425, " ",B425)</f>
        <v>Mitchell Robinson</v>
      </c>
      <c r="D425" t="s">
        <v>23</v>
      </c>
      <c r="E425" s="2">
        <v>36708</v>
      </c>
      <c r="F425" s="3">
        <f t="shared" si="24"/>
        <v>7</v>
      </c>
      <c r="G425" s="3">
        <f t="shared" si="27"/>
        <v>1</v>
      </c>
      <c r="H425" s="2" t="str">
        <f t="shared" si="25"/>
        <v>7' 1"</v>
      </c>
      <c r="I425">
        <v>240</v>
      </c>
      <c r="J425" s="1">
        <v>35886</v>
      </c>
      <c r="K425" t="s">
        <v>24</v>
      </c>
      <c r="L425" t="s">
        <v>116</v>
      </c>
      <c r="M425">
        <v>2018</v>
      </c>
      <c r="N425" t="str">
        <f t="shared" si="26"/>
        <v>Drafted</v>
      </c>
      <c r="O425">
        <v>2</v>
      </c>
      <c r="P425">
        <v>36</v>
      </c>
    </row>
    <row r="426" spans="1:16" x14ac:dyDescent="0.35">
      <c r="A426" t="s">
        <v>884</v>
      </c>
      <c r="B426" t="s">
        <v>883</v>
      </c>
      <c r="C426" t="str">
        <f>CONCATENATE(A426, " ",B426)</f>
        <v>Orlando Robinson</v>
      </c>
      <c r="D426" t="s">
        <v>18</v>
      </c>
      <c r="E426" s="2">
        <v>45087</v>
      </c>
      <c r="F426" s="3">
        <f t="shared" si="24"/>
        <v>6</v>
      </c>
      <c r="G426" s="3">
        <f t="shared" si="27"/>
        <v>10</v>
      </c>
      <c r="H426" s="2" t="str">
        <f t="shared" si="25"/>
        <v>6' 10"</v>
      </c>
      <c r="I426">
        <v>235</v>
      </c>
      <c r="J426" s="1">
        <v>36717</v>
      </c>
      <c r="K426" t="s">
        <v>24</v>
      </c>
      <c r="L426" t="s">
        <v>438</v>
      </c>
      <c r="M426">
        <v>2022</v>
      </c>
      <c r="N426" t="str">
        <f t="shared" si="26"/>
        <v>Undrafted</v>
      </c>
    </row>
    <row r="427" spans="1:16" x14ac:dyDescent="0.35">
      <c r="A427" t="s">
        <v>885</v>
      </c>
      <c r="B427" t="s">
        <v>886</v>
      </c>
      <c r="C427" t="str">
        <f>CONCATENATE(A427, " ",B427)</f>
        <v>Jeremiah Robinson-Earl</v>
      </c>
      <c r="D427" t="s">
        <v>13</v>
      </c>
      <c r="E427" s="2">
        <v>45085</v>
      </c>
      <c r="F427" s="3">
        <f t="shared" si="24"/>
        <v>6</v>
      </c>
      <c r="G427" s="3">
        <f t="shared" si="27"/>
        <v>8</v>
      </c>
      <c r="H427" s="2" t="str">
        <f t="shared" si="25"/>
        <v>6' 8"</v>
      </c>
      <c r="I427">
        <v>240</v>
      </c>
      <c r="J427" s="1">
        <v>36833</v>
      </c>
      <c r="K427" t="s">
        <v>24</v>
      </c>
      <c r="L427" t="s">
        <v>68</v>
      </c>
      <c r="M427">
        <v>2021</v>
      </c>
      <c r="N427" t="str">
        <f t="shared" si="26"/>
        <v>Drafted</v>
      </c>
      <c r="O427">
        <v>2</v>
      </c>
      <c r="P427">
        <v>32</v>
      </c>
    </row>
    <row r="428" spans="1:16" x14ac:dyDescent="0.35">
      <c r="A428" t="s">
        <v>505</v>
      </c>
      <c r="B428" t="s">
        <v>887</v>
      </c>
      <c r="C428" t="str">
        <f>CONCATENATE(A428, " ",B428)</f>
        <v>Isaiah Roby</v>
      </c>
      <c r="D428" t="s">
        <v>13</v>
      </c>
      <c r="E428" s="2">
        <v>45085</v>
      </c>
      <c r="F428" s="3">
        <f t="shared" si="24"/>
        <v>6</v>
      </c>
      <c r="G428" s="3">
        <f t="shared" si="27"/>
        <v>8</v>
      </c>
      <c r="H428" s="2" t="str">
        <f t="shared" si="25"/>
        <v>6' 8"</v>
      </c>
      <c r="I428">
        <v>230</v>
      </c>
      <c r="J428" s="1">
        <v>35829</v>
      </c>
      <c r="K428" t="s">
        <v>24</v>
      </c>
      <c r="L428" t="s">
        <v>103</v>
      </c>
      <c r="M428">
        <v>2019</v>
      </c>
      <c r="N428" t="str">
        <f t="shared" si="26"/>
        <v>Drafted</v>
      </c>
      <c r="O428">
        <v>2</v>
      </c>
      <c r="P428">
        <v>45</v>
      </c>
    </row>
    <row r="429" spans="1:16" x14ac:dyDescent="0.35">
      <c r="A429" t="s">
        <v>375</v>
      </c>
      <c r="B429" t="s">
        <v>888</v>
      </c>
      <c r="C429" t="str">
        <f>CONCATENATE(A429, " ",B429)</f>
        <v>David Roddy</v>
      </c>
      <c r="D429" t="s">
        <v>13</v>
      </c>
      <c r="E429" s="2">
        <v>45081</v>
      </c>
      <c r="F429" s="3">
        <f t="shared" si="24"/>
        <v>6</v>
      </c>
      <c r="G429" s="3">
        <f t="shared" si="27"/>
        <v>4</v>
      </c>
      <c r="H429" s="2" t="str">
        <f t="shared" si="25"/>
        <v>6' 4"</v>
      </c>
      <c r="I429">
        <v>255</v>
      </c>
      <c r="J429" s="1">
        <v>36977</v>
      </c>
      <c r="K429" t="s">
        <v>24</v>
      </c>
      <c r="L429" t="s">
        <v>889</v>
      </c>
      <c r="M429">
        <v>2022</v>
      </c>
      <c r="N429" t="str">
        <f t="shared" si="26"/>
        <v>Drafted</v>
      </c>
      <c r="O429">
        <v>1</v>
      </c>
      <c r="P429">
        <v>23</v>
      </c>
    </row>
    <row r="430" spans="1:16" x14ac:dyDescent="0.35">
      <c r="A430" t="s">
        <v>66</v>
      </c>
      <c r="B430" t="s">
        <v>890</v>
      </c>
      <c r="C430" t="str">
        <f>CONCATENATE(A430, " ",B430)</f>
        <v>Ryan Rollins</v>
      </c>
      <c r="D430" t="s">
        <v>28</v>
      </c>
      <c r="E430" s="2">
        <v>45080</v>
      </c>
      <c r="F430" s="3">
        <f t="shared" si="24"/>
        <v>6</v>
      </c>
      <c r="G430" s="3">
        <f t="shared" si="27"/>
        <v>3</v>
      </c>
      <c r="H430" s="2" t="str">
        <f t="shared" si="25"/>
        <v>6' 3"</v>
      </c>
      <c r="I430">
        <v>180</v>
      </c>
      <c r="J430" s="1">
        <v>37440</v>
      </c>
      <c r="K430" t="s">
        <v>24</v>
      </c>
      <c r="L430" t="s">
        <v>891</v>
      </c>
      <c r="M430">
        <v>2022</v>
      </c>
      <c r="N430" t="str">
        <f t="shared" si="26"/>
        <v>Drafted</v>
      </c>
      <c r="O430">
        <v>2</v>
      </c>
      <c r="P430">
        <v>44</v>
      </c>
    </row>
    <row r="431" spans="1:16" x14ac:dyDescent="0.35">
      <c r="A431" t="s">
        <v>396</v>
      </c>
      <c r="B431" t="s">
        <v>892</v>
      </c>
      <c r="C431" t="str">
        <f>CONCATENATE(A431, " ",B431)</f>
        <v>Derrick Rose</v>
      </c>
      <c r="D431" t="s">
        <v>28</v>
      </c>
      <c r="E431" s="2">
        <v>45080</v>
      </c>
      <c r="F431" s="3">
        <f t="shared" si="24"/>
        <v>6</v>
      </c>
      <c r="G431" s="3">
        <f t="shared" si="27"/>
        <v>3</v>
      </c>
      <c r="H431" s="2" t="str">
        <f t="shared" si="25"/>
        <v>6' 3"</v>
      </c>
      <c r="I431">
        <v>200</v>
      </c>
      <c r="J431" s="1">
        <v>32420</v>
      </c>
      <c r="K431" t="s">
        <v>24</v>
      </c>
      <c r="L431" t="s">
        <v>15</v>
      </c>
      <c r="M431">
        <v>2008</v>
      </c>
      <c r="N431" t="str">
        <f t="shared" si="26"/>
        <v>Drafted</v>
      </c>
      <c r="O431">
        <v>1</v>
      </c>
      <c r="P431">
        <v>1</v>
      </c>
    </row>
    <row r="432" spans="1:16" x14ac:dyDescent="0.35">
      <c r="A432" t="s">
        <v>893</v>
      </c>
      <c r="B432" t="s">
        <v>894</v>
      </c>
      <c r="C432" t="str">
        <f>CONCATENATE(A432, " ",B432)</f>
        <v>Terrence Ross</v>
      </c>
      <c r="D432" t="s">
        <v>122</v>
      </c>
      <c r="E432" s="2">
        <v>45084</v>
      </c>
      <c r="F432" s="3">
        <f t="shared" si="24"/>
        <v>6</v>
      </c>
      <c r="G432" s="3">
        <f t="shared" si="27"/>
        <v>7</v>
      </c>
      <c r="H432" s="2" t="str">
        <f t="shared" si="25"/>
        <v>6' 7"</v>
      </c>
      <c r="I432">
        <v>206</v>
      </c>
      <c r="J432" s="1">
        <v>33274</v>
      </c>
      <c r="K432" t="s">
        <v>24</v>
      </c>
      <c r="L432" t="s">
        <v>422</v>
      </c>
      <c r="M432">
        <v>2012</v>
      </c>
      <c r="N432" t="str">
        <f t="shared" si="26"/>
        <v>Drafted</v>
      </c>
      <c r="O432">
        <v>1</v>
      </c>
      <c r="P432">
        <v>8</v>
      </c>
    </row>
    <row r="433" spans="1:16" x14ac:dyDescent="0.35">
      <c r="A433" t="s">
        <v>895</v>
      </c>
      <c r="B433" t="s">
        <v>896</v>
      </c>
      <c r="C433" t="str">
        <f>CONCATENATE(A433, " ",B433)</f>
        <v>Terry Rozier</v>
      </c>
      <c r="D433" t="s">
        <v>28</v>
      </c>
      <c r="E433" s="2">
        <v>45078</v>
      </c>
      <c r="F433" s="3">
        <f t="shared" si="24"/>
        <v>6</v>
      </c>
      <c r="G433" s="3">
        <f t="shared" si="27"/>
        <v>1</v>
      </c>
      <c r="H433" s="2" t="str">
        <f t="shared" si="25"/>
        <v>6' 1"</v>
      </c>
      <c r="I433">
        <v>190</v>
      </c>
      <c r="J433" s="1">
        <v>34410</v>
      </c>
      <c r="K433" t="s">
        <v>24</v>
      </c>
      <c r="L433" t="s">
        <v>345</v>
      </c>
      <c r="M433">
        <v>2015</v>
      </c>
      <c r="N433" t="str">
        <f t="shared" si="26"/>
        <v>Drafted</v>
      </c>
      <c r="O433">
        <v>1</v>
      </c>
      <c r="P433">
        <v>16</v>
      </c>
    </row>
    <row r="434" spans="1:16" x14ac:dyDescent="0.35">
      <c r="A434" t="s">
        <v>897</v>
      </c>
      <c r="B434" t="s">
        <v>898</v>
      </c>
      <c r="C434" t="str">
        <f>CONCATENATE(A434, " ",B434)</f>
        <v>Ricky Rubio</v>
      </c>
      <c r="D434" t="s">
        <v>28</v>
      </c>
      <c r="E434" s="2">
        <v>45079</v>
      </c>
      <c r="F434" s="3">
        <f t="shared" si="24"/>
        <v>6</v>
      </c>
      <c r="G434" s="3">
        <f t="shared" si="27"/>
        <v>2</v>
      </c>
      <c r="H434" s="2" t="str">
        <f t="shared" si="25"/>
        <v>6' 2"</v>
      </c>
      <c r="I434">
        <v>190</v>
      </c>
      <c r="J434" s="1">
        <v>33167</v>
      </c>
      <c r="K434" t="s">
        <v>33</v>
      </c>
      <c r="L434" t="s">
        <v>85</v>
      </c>
      <c r="M434">
        <v>2009</v>
      </c>
      <c r="N434" t="str">
        <f t="shared" si="26"/>
        <v>Drafted</v>
      </c>
      <c r="O434">
        <v>1</v>
      </c>
      <c r="P434">
        <v>5</v>
      </c>
    </row>
    <row r="435" spans="1:16" x14ac:dyDescent="0.35">
      <c r="A435" t="s">
        <v>899</v>
      </c>
      <c r="B435" t="s">
        <v>900</v>
      </c>
      <c r="C435" t="str">
        <f>CONCATENATE(A435, " ",B435)</f>
        <v>D'Angelo Russell</v>
      </c>
      <c r="D435" t="s">
        <v>28</v>
      </c>
      <c r="E435" s="2">
        <v>45081</v>
      </c>
      <c r="F435" s="3">
        <f t="shared" si="24"/>
        <v>6</v>
      </c>
      <c r="G435" s="3">
        <f t="shared" si="27"/>
        <v>4</v>
      </c>
      <c r="H435" s="2" t="str">
        <f t="shared" si="25"/>
        <v>6' 4"</v>
      </c>
      <c r="I435">
        <v>193</v>
      </c>
      <c r="J435" s="1">
        <v>35118</v>
      </c>
      <c r="K435" t="s">
        <v>24</v>
      </c>
      <c r="L435" t="s">
        <v>119</v>
      </c>
      <c r="M435">
        <v>2015</v>
      </c>
      <c r="N435" t="str">
        <f t="shared" si="26"/>
        <v>Drafted</v>
      </c>
      <c r="O435">
        <v>1</v>
      </c>
      <c r="P435">
        <v>2</v>
      </c>
    </row>
    <row r="436" spans="1:16" x14ac:dyDescent="0.35">
      <c r="A436" t="s">
        <v>901</v>
      </c>
      <c r="B436" t="s">
        <v>66</v>
      </c>
      <c r="C436" t="str">
        <f>CONCATENATE(A436, " ",B436)</f>
        <v>Matt Ryan</v>
      </c>
      <c r="D436" t="s">
        <v>13</v>
      </c>
      <c r="E436" s="2">
        <v>45083</v>
      </c>
      <c r="F436" s="3">
        <f t="shared" si="24"/>
        <v>6</v>
      </c>
      <c r="G436" s="3">
        <f t="shared" si="27"/>
        <v>6</v>
      </c>
      <c r="H436" s="2" t="str">
        <f t="shared" si="25"/>
        <v>6' 6"</v>
      </c>
      <c r="I436">
        <v>215</v>
      </c>
      <c r="J436" s="1">
        <v>35537</v>
      </c>
      <c r="K436" t="s">
        <v>24</v>
      </c>
      <c r="L436" t="s">
        <v>902</v>
      </c>
      <c r="M436">
        <v>2021</v>
      </c>
      <c r="N436" t="str">
        <f t="shared" si="26"/>
        <v>Undrafted</v>
      </c>
    </row>
    <row r="437" spans="1:16" x14ac:dyDescent="0.35">
      <c r="A437" t="s">
        <v>903</v>
      </c>
      <c r="B437" t="s">
        <v>904</v>
      </c>
      <c r="C437" t="str">
        <f>CONCATENATE(A437, " ",B437)</f>
        <v>Domantas Sabonis</v>
      </c>
      <c r="D437" t="s">
        <v>32</v>
      </c>
      <c r="E437" s="2">
        <v>45108</v>
      </c>
      <c r="F437" s="3">
        <f t="shared" si="24"/>
        <v>7</v>
      </c>
      <c r="G437" s="3">
        <f t="shared" si="27"/>
        <v>1</v>
      </c>
      <c r="H437" s="2" t="str">
        <f t="shared" si="25"/>
        <v>7' 1"</v>
      </c>
      <c r="I437">
        <v>240</v>
      </c>
      <c r="J437" s="1">
        <v>35188</v>
      </c>
      <c r="K437" t="s">
        <v>905</v>
      </c>
      <c r="L437" t="s">
        <v>275</v>
      </c>
      <c r="M437">
        <v>2016</v>
      </c>
      <c r="N437" t="str">
        <f t="shared" si="26"/>
        <v>Drafted</v>
      </c>
      <c r="O437">
        <v>1</v>
      </c>
      <c r="P437">
        <v>11</v>
      </c>
    </row>
    <row r="438" spans="1:16" x14ac:dyDescent="0.35">
      <c r="A438" t="s">
        <v>350</v>
      </c>
      <c r="B438" t="s">
        <v>906</v>
      </c>
      <c r="C438" t="str">
        <f>CONCATENATE(A438, " ",B438)</f>
        <v>Luka Samanic</v>
      </c>
      <c r="D438" t="s">
        <v>13</v>
      </c>
      <c r="E438" s="2">
        <v>45087</v>
      </c>
      <c r="F438" s="3">
        <f t="shared" si="24"/>
        <v>6</v>
      </c>
      <c r="G438" s="3">
        <f t="shared" si="27"/>
        <v>10</v>
      </c>
      <c r="H438" s="2" t="str">
        <f t="shared" si="25"/>
        <v>6' 10"</v>
      </c>
      <c r="I438">
        <v>227</v>
      </c>
      <c r="J438" s="1">
        <v>36534</v>
      </c>
      <c r="K438" t="s">
        <v>163</v>
      </c>
      <c r="L438" t="s">
        <v>370</v>
      </c>
      <c r="M438">
        <v>2019</v>
      </c>
      <c r="N438" t="str">
        <f t="shared" si="26"/>
        <v>Drafted</v>
      </c>
      <c r="O438">
        <v>1</v>
      </c>
      <c r="P438">
        <v>19</v>
      </c>
    </row>
    <row r="439" spans="1:16" x14ac:dyDescent="0.35">
      <c r="A439" t="s">
        <v>907</v>
      </c>
      <c r="B439" t="s">
        <v>908</v>
      </c>
      <c r="C439" t="str">
        <f>CONCATENATE(A439, " ",B439)</f>
        <v>Dario Saric</v>
      </c>
      <c r="D439" t="s">
        <v>32</v>
      </c>
      <c r="E439" s="2">
        <v>45087</v>
      </c>
      <c r="F439" s="3">
        <f t="shared" si="24"/>
        <v>6</v>
      </c>
      <c r="G439" s="3">
        <f t="shared" si="27"/>
        <v>10</v>
      </c>
      <c r="H439" s="2" t="str">
        <f t="shared" si="25"/>
        <v>6' 10"</v>
      </c>
      <c r="I439">
        <v>225</v>
      </c>
      <c r="J439" s="1">
        <v>34432</v>
      </c>
      <c r="K439" t="s">
        <v>163</v>
      </c>
      <c r="L439" t="s">
        <v>627</v>
      </c>
      <c r="M439">
        <v>2014</v>
      </c>
      <c r="N439" t="str">
        <f t="shared" si="26"/>
        <v>Drafted</v>
      </c>
      <c r="O439">
        <v>1</v>
      </c>
      <c r="P439">
        <v>12</v>
      </c>
    </row>
    <row r="440" spans="1:16" x14ac:dyDescent="0.35">
      <c r="A440" t="s">
        <v>909</v>
      </c>
      <c r="B440" t="s">
        <v>910</v>
      </c>
      <c r="C440" t="str">
        <f>CONCATENATE(A440, " ",B440)</f>
        <v>Olivier Sarr</v>
      </c>
      <c r="D440" t="s">
        <v>18</v>
      </c>
      <c r="E440" s="2">
        <v>45088</v>
      </c>
      <c r="F440" s="3">
        <f t="shared" si="24"/>
        <v>6</v>
      </c>
      <c r="G440" s="3">
        <f t="shared" si="27"/>
        <v>11</v>
      </c>
      <c r="H440" s="2" t="str">
        <f t="shared" si="25"/>
        <v>6' 11"</v>
      </c>
      <c r="I440">
        <v>240</v>
      </c>
      <c r="J440" s="1">
        <v>36211</v>
      </c>
      <c r="K440" t="s">
        <v>123</v>
      </c>
      <c r="L440" t="s">
        <v>25</v>
      </c>
      <c r="M440">
        <v>2021</v>
      </c>
      <c r="N440" t="str">
        <f t="shared" si="26"/>
        <v>Undrafted</v>
      </c>
    </row>
    <row r="441" spans="1:16" x14ac:dyDescent="0.35">
      <c r="A441" t="s">
        <v>276</v>
      </c>
      <c r="B441" t="s">
        <v>911</v>
      </c>
      <c r="C441" t="str">
        <f>CONCATENATE(A441, " ",B441)</f>
        <v>Jordan Schakel</v>
      </c>
      <c r="D441" t="s">
        <v>28</v>
      </c>
      <c r="E441" s="2">
        <v>45083</v>
      </c>
      <c r="F441" s="3">
        <f t="shared" si="24"/>
        <v>6</v>
      </c>
      <c r="G441" s="3">
        <f t="shared" si="27"/>
        <v>6</v>
      </c>
      <c r="H441" s="2" t="str">
        <f t="shared" si="25"/>
        <v>6' 6"</v>
      </c>
      <c r="I441">
        <v>200</v>
      </c>
      <c r="J441" s="1">
        <v>35959</v>
      </c>
      <c r="K441" t="s">
        <v>24</v>
      </c>
      <c r="L441" t="s">
        <v>406</v>
      </c>
      <c r="M441">
        <v>2021</v>
      </c>
      <c r="N441" t="str">
        <f t="shared" si="26"/>
        <v>Undrafted</v>
      </c>
    </row>
    <row r="442" spans="1:16" x14ac:dyDescent="0.35">
      <c r="A442" t="s">
        <v>912</v>
      </c>
      <c r="B442" t="s">
        <v>913</v>
      </c>
      <c r="C442" t="str">
        <f>CONCATENATE(A442, " ",B442)</f>
        <v>Admiral Schofield</v>
      </c>
      <c r="D442" t="s">
        <v>13</v>
      </c>
      <c r="E442" s="2">
        <v>45082</v>
      </c>
      <c r="F442" s="3">
        <f t="shared" si="24"/>
        <v>6</v>
      </c>
      <c r="G442" s="3">
        <f t="shared" si="27"/>
        <v>5</v>
      </c>
      <c r="H442" s="2" t="str">
        <f t="shared" si="25"/>
        <v>6' 5"</v>
      </c>
      <c r="I442">
        <v>241</v>
      </c>
      <c r="J442" s="1">
        <v>35519</v>
      </c>
      <c r="K442" t="s">
        <v>64</v>
      </c>
      <c r="L442" t="s">
        <v>267</v>
      </c>
      <c r="M442">
        <v>2019</v>
      </c>
      <c r="N442" t="str">
        <f t="shared" si="26"/>
        <v>Drafted</v>
      </c>
      <c r="O442">
        <v>2</v>
      </c>
      <c r="P442">
        <v>42</v>
      </c>
    </row>
    <row r="443" spans="1:16" x14ac:dyDescent="0.35">
      <c r="A443" t="s">
        <v>914</v>
      </c>
      <c r="B443" t="s">
        <v>915</v>
      </c>
      <c r="C443" t="str">
        <f>CONCATENATE(A443, " ",B443)</f>
        <v>Dennis Schroder</v>
      </c>
      <c r="D443" t="s">
        <v>28</v>
      </c>
      <c r="E443" s="2">
        <v>45078</v>
      </c>
      <c r="F443" s="3">
        <f t="shared" si="24"/>
        <v>6</v>
      </c>
      <c r="G443" s="3">
        <f t="shared" si="27"/>
        <v>1</v>
      </c>
      <c r="H443" s="2" t="str">
        <f t="shared" si="25"/>
        <v>6' 1"</v>
      </c>
      <c r="I443">
        <v>172</v>
      </c>
      <c r="J443" s="1">
        <v>34227</v>
      </c>
      <c r="K443" t="s">
        <v>507</v>
      </c>
      <c r="L443" t="s">
        <v>916</v>
      </c>
      <c r="M443">
        <v>2013</v>
      </c>
      <c r="N443" t="str">
        <f t="shared" si="26"/>
        <v>Drafted</v>
      </c>
      <c r="O443">
        <v>1</v>
      </c>
      <c r="P443">
        <v>17</v>
      </c>
    </row>
    <row r="444" spans="1:16" x14ac:dyDescent="0.35">
      <c r="A444" t="s">
        <v>546</v>
      </c>
      <c r="B444" t="s">
        <v>917</v>
      </c>
      <c r="C444" t="str">
        <f>CONCATENATE(A444, " ",B444)</f>
        <v>Jay Scrubb</v>
      </c>
      <c r="D444" t="s">
        <v>28</v>
      </c>
      <c r="E444" s="2">
        <v>45082</v>
      </c>
      <c r="F444" s="3">
        <f t="shared" si="24"/>
        <v>6</v>
      </c>
      <c r="G444" s="3">
        <f t="shared" si="27"/>
        <v>5</v>
      </c>
      <c r="H444" s="2" t="str">
        <f t="shared" si="25"/>
        <v>6' 5"</v>
      </c>
      <c r="I444">
        <v>220</v>
      </c>
      <c r="J444" s="1">
        <v>36770</v>
      </c>
      <c r="K444" t="s">
        <v>24</v>
      </c>
      <c r="L444" t="s">
        <v>918</v>
      </c>
      <c r="M444">
        <v>2020</v>
      </c>
      <c r="N444" t="str">
        <f t="shared" si="26"/>
        <v>Drafted</v>
      </c>
      <c r="O444">
        <v>2</v>
      </c>
      <c r="P444">
        <v>55</v>
      </c>
    </row>
    <row r="445" spans="1:16" x14ac:dyDescent="0.35">
      <c r="A445" t="s">
        <v>919</v>
      </c>
      <c r="B445" t="s">
        <v>920</v>
      </c>
      <c r="C445" t="str">
        <f>CONCATENATE(A445, " ",B445)</f>
        <v>Dereon Seabron</v>
      </c>
      <c r="D445" t="s">
        <v>28</v>
      </c>
      <c r="E445" s="2">
        <v>45082</v>
      </c>
      <c r="F445" s="3">
        <f t="shared" si="24"/>
        <v>6</v>
      </c>
      <c r="G445" s="3">
        <f t="shared" si="27"/>
        <v>5</v>
      </c>
      <c r="H445" s="2" t="str">
        <f t="shared" si="25"/>
        <v>6' 5"</v>
      </c>
      <c r="I445">
        <v>180</v>
      </c>
      <c r="J445" s="1">
        <v>36672</v>
      </c>
      <c r="K445" t="s">
        <v>24</v>
      </c>
      <c r="L445" t="s">
        <v>921</v>
      </c>
      <c r="M445">
        <v>2022</v>
      </c>
      <c r="N445" t="str">
        <f t="shared" si="26"/>
        <v>Undrafted</v>
      </c>
    </row>
    <row r="446" spans="1:16" x14ac:dyDescent="0.35">
      <c r="A446" t="s">
        <v>922</v>
      </c>
      <c r="B446" t="s">
        <v>923</v>
      </c>
      <c r="C446" t="str">
        <f>CONCATENATE(A446, " ",B446)</f>
        <v>Alperen Sengun</v>
      </c>
      <c r="D446" t="s">
        <v>18</v>
      </c>
      <c r="E446" s="2">
        <v>45088</v>
      </c>
      <c r="F446" s="3">
        <f t="shared" si="24"/>
        <v>6</v>
      </c>
      <c r="G446" s="3">
        <f t="shared" si="27"/>
        <v>11</v>
      </c>
      <c r="H446" s="2" t="str">
        <f t="shared" si="25"/>
        <v>6' 11"</v>
      </c>
      <c r="I446">
        <v>243</v>
      </c>
      <c r="J446" s="1">
        <v>37462</v>
      </c>
      <c r="K446" t="s">
        <v>626</v>
      </c>
      <c r="L446" t="s">
        <v>924</v>
      </c>
      <c r="M446">
        <v>2021</v>
      </c>
      <c r="N446" t="str">
        <f t="shared" si="26"/>
        <v>Drafted</v>
      </c>
      <c r="O446">
        <v>1</v>
      </c>
      <c r="P446">
        <v>16</v>
      </c>
    </row>
    <row r="447" spans="1:16" x14ac:dyDescent="0.35">
      <c r="A447" t="s">
        <v>925</v>
      </c>
      <c r="B447" t="s">
        <v>926</v>
      </c>
      <c r="C447" t="str">
        <f>CONCATENATE(A447, " ",B447)</f>
        <v>Collin Sexton</v>
      </c>
      <c r="D447" t="s">
        <v>28</v>
      </c>
      <c r="E447" s="2">
        <v>45079</v>
      </c>
      <c r="F447" s="3">
        <f t="shared" si="24"/>
        <v>6</v>
      </c>
      <c r="G447" s="3">
        <f t="shared" si="27"/>
        <v>2</v>
      </c>
      <c r="H447" s="2" t="str">
        <f t="shared" si="25"/>
        <v>6' 2"</v>
      </c>
      <c r="I447">
        <v>190</v>
      </c>
      <c r="J447" s="1">
        <v>36164</v>
      </c>
      <c r="K447" t="s">
        <v>24</v>
      </c>
      <c r="L447" t="s">
        <v>323</v>
      </c>
      <c r="M447">
        <v>2018</v>
      </c>
      <c r="N447" t="str">
        <f t="shared" si="26"/>
        <v>Drafted</v>
      </c>
      <c r="O447">
        <v>1</v>
      </c>
      <c r="P447">
        <v>8</v>
      </c>
    </row>
    <row r="448" spans="1:16" x14ac:dyDescent="0.35">
      <c r="A448" t="s">
        <v>927</v>
      </c>
      <c r="B448" t="s">
        <v>928</v>
      </c>
      <c r="C448" t="str">
        <f>CONCATENATE(A448, " ",B448)</f>
        <v>Landry Shamet</v>
      </c>
      <c r="D448" t="s">
        <v>28</v>
      </c>
      <c r="E448" s="2">
        <v>45081</v>
      </c>
      <c r="F448" s="3">
        <f t="shared" si="24"/>
        <v>6</v>
      </c>
      <c r="G448" s="3">
        <f t="shared" si="27"/>
        <v>4</v>
      </c>
      <c r="H448" s="2" t="str">
        <f t="shared" si="25"/>
        <v>6' 4"</v>
      </c>
      <c r="I448">
        <v>190</v>
      </c>
      <c r="J448" s="1">
        <v>35502</v>
      </c>
      <c r="K448" t="s">
        <v>24</v>
      </c>
      <c r="L448" t="s">
        <v>929</v>
      </c>
      <c r="M448">
        <v>2018</v>
      </c>
      <c r="N448" t="str">
        <f t="shared" si="26"/>
        <v>Drafted</v>
      </c>
      <c r="O448">
        <v>1</v>
      </c>
      <c r="P448">
        <v>26</v>
      </c>
    </row>
    <row r="449" spans="1:16" x14ac:dyDescent="0.35">
      <c r="A449" t="s">
        <v>930</v>
      </c>
      <c r="B449" t="s">
        <v>931</v>
      </c>
      <c r="C449" t="str">
        <f>CONCATENATE(A449, " ",B449)</f>
        <v>Day'Ron Sharpe</v>
      </c>
      <c r="D449" t="s">
        <v>18</v>
      </c>
      <c r="E449" s="2">
        <v>45086</v>
      </c>
      <c r="F449" s="3">
        <f t="shared" si="24"/>
        <v>6</v>
      </c>
      <c r="G449" s="3">
        <f t="shared" si="27"/>
        <v>9</v>
      </c>
      <c r="H449" s="2" t="str">
        <f t="shared" si="25"/>
        <v>6' 9"</v>
      </c>
      <c r="I449">
        <v>265</v>
      </c>
      <c r="J449" s="1">
        <v>37201</v>
      </c>
      <c r="K449" t="s">
        <v>24</v>
      </c>
      <c r="L449" t="s">
        <v>61</v>
      </c>
      <c r="M449">
        <v>2021</v>
      </c>
      <c r="N449" t="str">
        <f t="shared" si="26"/>
        <v>Drafted</v>
      </c>
      <c r="O449">
        <v>1</v>
      </c>
      <c r="P449">
        <v>29</v>
      </c>
    </row>
    <row r="450" spans="1:16" x14ac:dyDescent="0.35">
      <c r="A450" t="s">
        <v>932</v>
      </c>
      <c r="B450" t="s">
        <v>931</v>
      </c>
      <c r="C450" t="str">
        <f>CONCATENATE(A450, " ",B450)</f>
        <v>Shaedon Sharpe</v>
      </c>
      <c r="D450" t="s">
        <v>28</v>
      </c>
      <c r="E450" s="2">
        <v>45082</v>
      </c>
      <c r="F450" s="3">
        <f t="shared" si="24"/>
        <v>6</v>
      </c>
      <c r="G450" s="3">
        <f t="shared" si="27"/>
        <v>5</v>
      </c>
      <c r="H450" s="2" t="str">
        <f t="shared" si="25"/>
        <v>6' 5"</v>
      </c>
      <c r="I450">
        <v>200</v>
      </c>
      <c r="J450" s="1">
        <v>37771</v>
      </c>
      <c r="K450" t="s">
        <v>37</v>
      </c>
      <c r="L450" t="s">
        <v>25</v>
      </c>
      <c r="M450">
        <v>2022</v>
      </c>
      <c r="N450" t="str">
        <f t="shared" si="26"/>
        <v>Drafted</v>
      </c>
      <c r="O450">
        <v>1</v>
      </c>
      <c r="P450">
        <v>7</v>
      </c>
    </row>
    <row r="451" spans="1:16" x14ac:dyDescent="0.35">
      <c r="A451" t="s">
        <v>933</v>
      </c>
      <c r="B451" t="s">
        <v>934</v>
      </c>
      <c r="C451" t="str">
        <f>CONCATENATE(A451, " ",B451)</f>
        <v>Pascal Siakam</v>
      </c>
      <c r="D451" t="s">
        <v>13</v>
      </c>
      <c r="E451" s="2">
        <v>45085</v>
      </c>
      <c r="F451" s="3">
        <f t="shared" ref="F451:F514" si="28">MONTH(E451)</f>
        <v>6</v>
      </c>
      <c r="G451" s="3">
        <f t="shared" si="27"/>
        <v>8</v>
      </c>
      <c r="H451" s="2" t="str">
        <f t="shared" ref="H451:H514" si="29">CONCATENATE(F451,"' ",G451,"""")</f>
        <v>6' 8"</v>
      </c>
      <c r="I451">
        <v>230</v>
      </c>
      <c r="J451" s="1">
        <v>34426</v>
      </c>
      <c r="K451" t="s">
        <v>392</v>
      </c>
      <c r="L451" t="s">
        <v>857</v>
      </c>
      <c r="M451">
        <v>2016</v>
      </c>
      <c r="N451" t="str">
        <f t="shared" ref="N451:N514" si="30">IF(O451 &gt; 0,"Drafted","Undrafted")</f>
        <v>Drafted</v>
      </c>
      <c r="O451">
        <v>1</v>
      </c>
      <c r="P451">
        <v>27</v>
      </c>
    </row>
    <row r="452" spans="1:16" x14ac:dyDescent="0.35">
      <c r="A452" t="s">
        <v>174</v>
      </c>
      <c r="B452" t="s">
        <v>935</v>
      </c>
      <c r="C452" t="str">
        <f>CONCATENATE(A452, " ",B452)</f>
        <v>Chris Silva</v>
      </c>
      <c r="D452" t="s">
        <v>13</v>
      </c>
      <c r="E452" s="2">
        <v>45085</v>
      </c>
      <c r="F452" s="3">
        <f t="shared" si="28"/>
        <v>6</v>
      </c>
      <c r="G452" s="3">
        <f t="shared" ref="G452:G515" si="31">DAY(E452)</f>
        <v>8</v>
      </c>
      <c r="H452" s="2" t="str">
        <f t="shared" si="29"/>
        <v>6' 8"</v>
      </c>
      <c r="I452">
        <v>234</v>
      </c>
      <c r="J452" s="1">
        <v>35327</v>
      </c>
      <c r="K452" t="s">
        <v>936</v>
      </c>
      <c r="L452" t="s">
        <v>367</v>
      </c>
      <c r="M452">
        <v>2019</v>
      </c>
      <c r="N452" t="str">
        <f t="shared" si="30"/>
        <v>Undrafted</v>
      </c>
    </row>
    <row r="453" spans="1:16" x14ac:dyDescent="0.35">
      <c r="A453" t="s">
        <v>937</v>
      </c>
      <c r="B453" t="s">
        <v>938</v>
      </c>
      <c r="C453" t="str">
        <f>CONCATENATE(A453, " ",B453)</f>
        <v>Ben Simmons</v>
      </c>
      <c r="D453" t="s">
        <v>122</v>
      </c>
      <c r="E453" s="2">
        <v>45087</v>
      </c>
      <c r="F453" s="3">
        <f t="shared" si="28"/>
        <v>6</v>
      </c>
      <c r="G453" s="3">
        <f t="shared" si="31"/>
        <v>10</v>
      </c>
      <c r="H453" s="2" t="str">
        <f t="shared" si="29"/>
        <v>6' 10"</v>
      </c>
      <c r="I453">
        <v>240</v>
      </c>
      <c r="J453" s="1">
        <v>35266</v>
      </c>
      <c r="K453" t="s">
        <v>296</v>
      </c>
      <c r="L453" t="s">
        <v>325</v>
      </c>
      <c r="M453">
        <v>2016</v>
      </c>
      <c r="N453" t="str">
        <f t="shared" si="30"/>
        <v>Drafted</v>
      </c>
      <c r="O453">
        <v>1</v>
      </c>
      <c r="P453">
        <v>1</v>
      </c>
    </row>
    <row r="454" spans="1:16" x14ac:dyDescent="0.35">
      <c r="A454" t="s">
        <v>939</v>
      </c>
      <c r="B454" t="s">
        <v>938</v>
      </c>
      <c r="C454" t="str">
        <f>CONCATENATE(A454, " ",B454)</f>
        <v>Kobi Simmons</v>
      </c>
      <c r="D454" t="s">
        <v>28</v>
      </c>
      <c r="E454" s="2">
        <v>45082</v>
      </c>
      <c r="F454" s="3">
        <f t="shared" si="28"/>
        <v>6</v>
      </c>
      <c r="G454" s="3">
        <f t="shared" si="31"/>
        <v>5</v>
      </c>
      <c r="H454" s="2" t="str">
        <f t="shared" si="29"/>
        <v>6' 5"</v>
      </c>
      <c r="I454">
        <v>180</v>
      </c>
      <c r="J454" s="1">
        <v>35615</v>
      </c>
      <c r="K454" t="s">
        <v>24</v>
      </c>
      <c r="L454" t="s">
        <v>79</v>
      </c>
      <c r="M454">
        <v>2017</v>
      </c>
      <c r="N454" t="str">
        <f t="shared" si="30"/>
        <v>Undrafted</v>
      </c>
    </row>
    <row r="455" spans="1:16" x14ac:dyDescent="0.35">
      <c r="A455" t="s">
        <v>940</v>
      </c>
      <c r="B455" t="s">
        <v>941</v>
      </c>
      <c r="C455" t="str">
        <f>CONCATENATE(A455, " ",B455)</f>
        <v>Marko Simonovic</v>
      </c>
      <c r="D455" t="s">
        <v>18</v>
      </c>
      <c r="E455" s="2">
        <v>36708</v>
      </c>
      <c r="F455" s="3">
        <f t="shared" si="28"/>
        <v>7</v>
      </c>
      <c r="G455" s="3">
        <f t="shared" si="31"/>
        <v>1</v>
      </c>
      <c r="H455" s="2" t="str">
        <f t="shared" si="29"/>
        <v>7' 1"</v>
      </c>
      <c r="I455">
        <v>220</v>
      </c>
      <c r="J455" s="1">
        <v>36448</v>
      </c>
      <c r="K455" t="s">
        <v>942</v>
      </c>
      <c r="M455">
        <v>2020</v>
      </c>
      <c r="N455" t="str">
        <f t="shared" si="30"/>
        <v>Drafted</v>
      </c>
      <c r="O455">
        <v>2</v>
      </c>
      <c r="P455">
        <v>44</v>
      </c>
    </row>
    <row r="456" spans="1:16" x14ac:dyDescent="0.35">
      <c r="A456" t="s">
        <v>943</v>
      </c>
      <c r="B456" t="s">
        <v>944</v>
      </c>
      <c r="C456" t="str">
        <f>CONCATENATE(A456, " ",B456)</f>
        <v>Anfernee Simons</v>
      </c>
      <c r="D456" t="s">
        <v>28</v>
      </c>
      <c r="E456" s="2">
        <v>45080</v>
      </c>
      <c r="F456" s="3">
        <f t="shared" si="28"/>
        <v>6</v>
      </c>
      <c r="G456" s="3">
        <f t="shared" si="31"/>
        <v>3</v>
      </c>
      <c r="H456" s="2" t="str">
        <f t="shared" si="29"/>
        <v>6' 3"</v>
      </c>
      <c r="I456">
        <v>181</v>
      </c>
      <c r="J456" s="1">
        <v>36319</v>
      </c>
      <c r="K456" t="s">
        <v>24</v>
      </c>
      <c r="L456" t="s">
        <v>945</v>
      </c>
      <c r="M456">
        <v>2018</v>
      </c>
      <c r="N456" t="str">
        <f t="shared" si="30"/>
        <v>Drafted</v>
      </c>
      <c r="O456">
        <v>1</v>
      </c>
      <c r="P456">
        <v>24</v>
      </c>
    </row>
    <row r="457" spans="1:16" x14ac:dyDescent="0.35">
      <c r="A457" t="s">
        <v>946</v>
      </c>
      <c r="B457" t="s">
        <v>947</v>
      </c>
      <c r="C457" t="str">
        <f>CONCATENATE(A457, " ",B457)</f>
        <v>Jericho Sims</v>
      </c>
      <c r="D457" t="s">
        <v>18</v>
      </c>
      <c r="E457" s="2">
        <v>45087</v>
      </c>
      <c r="F457" s="3">
        <f t="shared" si="28"/>
        <v>6</v>
      </c>
      <c r="G457" s="3">
        <f t="shared" si="31"/>
        <v>10</v>
      </c>
      <c r="H457" s="2" t="str">
        <f t="shared" si="29"/>
        <v>6' 10"</v>
      </c>
      <c r="I457">
        <v>250</v>
      </c>
      <c r="J457" s="1">
        <v>36088</v>
      </c>
      <c r="K457" t="s">
        <v>24</v>
      </c>
      <c r="L457" t="s">
        <v>43</v>
      </c>
      <c r="M457">
        <v>2021</v>
      </c>
      <c r="N457" t="str">
        <f t="shared" si="30"/>
        <v>Drafted</v>
      </c>
      <c r="O457">
        <v>2</v>
      </c>
      <c r="P457">
        <v>58</v>
      </c>
    </row>
    <row r="458" spans="1:16" x14ac:dyDescent="0.35">
      <c r="A458" t="s">
        <v>764</v>
      </c>
      <c r="B458" t="s">
        <v>948</v>
      </c>
      <c r="C458" t="str">
        <f>CONCATENATE(A458, " ",B458)</f>
        <v>Marcus Smart</v>
      </c>
      <c r="D458" t="s">
        <v>28</v>
      </c>
      <c r="E458" s="2">
        <v>45081</v>
      </c>
      <c r="F458" s="3">
        <f t="shared" si="28"/>
        <v>6</v>
      </c>
      <c r="G458" s="3">
        <f t="shared" si="31"/>
        <v>4</v>
      </c>
      <c r="H458" s="2" t="str">
        <f t="shared" si="29"/>
        <v>6' 4"</v>
      </c>
      <c r="I458">
        <v>220</v>
      </c>
      <c r="J458" s="1">
        <v>34399</v>
      </c>
      <c r="K458" t="s">
        <v>24</v>
      </c>
      <c r="L458" t="s">
        <v>310</v>
      </c>
      <c r="M458">
        <v>2014</v>
      </c>
      <c r="N458" t="str">
        <f t="shared" si="30"/>
        <v>Drafted</v>
      </c>
      <c r="O458">
        <v>1</v>
      </c>
      <c r="P458">
        <v>6</v>
      </c>
    </row>
    <row r="459" spans="1:16" x14ac:dyDescent="0.35">
      <c r="A459" t="s">
        <v>949</v>
      </c>
      <c r="B459" t="s">
        <v>950</v>
      </c>
      <c r="C459" t="str">
        <f>CONCATENATE(A459, " ",B459)</f>
        <v>Dru Smith</v>
      </c>
      <c r="D459" t="s">
        <v>28</v>
      </c>
      <c r="E459" s="2">
        <v>45080</v>
      </c>
      <c r="F459" s="3">
        <f t="shared" si="28"/>
        <v>6</v>
      </c>
      <c r="G459" s="3">
        <f t="shared" si="31"/>
        <v>3</v>
      </c>
      <c r="H459" s="2" t="str">
        <f t="shared" si="29"/>
        <v>6' 3"</v>
      </c>
      <c r="I459">
        <v>203</v>
      </c>
      <c r="J459" s="1">
        <v>35794</v>
      </c>
      <c r="K459" t="s">
        <v>24</v>
      </c>
      <c r="L459" t="s">
        <v>278</v>
      </c>
      <c r="M459">
        <v>2022</v>
      </c>
      <c r="N459" t="str">
        <f t="shared" si="30"/>
        <v>Undrafted</v>
      </c>
    </row>
    <row r="460" spans="1:16" x14ac:dyDescent="0.35">
      <c r="A460" t="s">
        <v>951</v>
      </c>
      <c r="B460" t="s">
        <v>950</v>
      </c>
      <c r="C460" t="str">
        <f>CONCATENATE(A460, " ",B460)</f>
        <v>Ish Smith</v>
      </c>
      <c r="D460" t="s">
        <v>28</v>
      </c>
      <c r="E460" s="2">
        <v>36678</v>
      </c>
      <c r="F460" s="3">
        <f t="shared" si="28"/>
        <v>6</v>
      </c>
      <c r="G460" s="3">
        <f t="shared" si="31"/>
        <v>1</v>
      </c>
      <c r="H460" s="2" t="str">
        <f t="shared" si="29"/>
        <v>6' 1"</v>
      </c>
      <c r="I460">
        <v>175</v>
      </c>
      <c r="J460" s="1">
        <v>32329</v>
      </c>
      <c r="K460" t="s">
        <v>24</v>
      </c>
      <c r="L460" t="s">
        <v>285</v>
      </c>
      <c r="M460">
        <v>2010</v>
      </c>
      <c r="N460" t="str">
        <f t="shared" si="30"/>
        <v>Undrafted</v>
      </c>
    </row>
    <row r="461" spans="1:16" x14ac:dyDescent="0.35">
      <c r="A461" t="s">
        <v>214</v>
      </c>
      <c r="B461" t="s">
        <v>950</v>
      </c>
      <c r="C461" t="str">
        <f>CONCATENATE(A461, " ",B461)</f>
        <v>Jalen Smith</v>
      </c>
      <c r="D461" t="s">
        <v>32</v>
      </c>
      <c r="E461" s="2">
        <v>45086</v>
      </c>
      <c r="F461" s="3">
        <f t="shared" si="28"/>
        <v>6</v>
      </c>
      <c r="G461" s="3">
        <f t="shared" si="31"/>
        <v>9</v>
      </c>
      <c r="H461" s="2" t="str">
        <f t="shared" si="29"/>
        <v>6' 9"</v>
      </c>
      <c r="I461">
        <v>215</v>
      </c>
      <c r="J461" s="1">
        <v>36601</v>
      </c>
      <c r="K461" t="s">
        <v>24</v>
      </c>
      <c r="L461" t="s">
        <v>401</v>
      </c>
      <c r="M461">
        <v>2020</v>
      </c>
      <c r="N461" t="str">
        <f t="shared" si="30"/>
        <v>Drafted</v>
      </c>
      <c r="O461">
        <v>1</v>
      </c>
      <c r="P461">
        <v>10</v>
      </c>
    </row>
    <row r="462" spans="1:16" x14ac:dyDescent="0.35">
      <c r="A462" t="s">
        <v>914</v>
      </c>
      <c r="B462" t="s">
        <v>952</v>
      </c>
      <c r="C462" t="str">
        <f>CONCATENATE(A462, " ",B462)</f>
        <v>Dennis Smith Jr.</v>
      </c>
      <c r="D462" t="s">
        <v>28</v>
      </c>
      <c r="E462" s="2">
        <v>45079</v>
      </c>
      <c r="F462" s="3">
        <f t="shared" si="28"/>
        <v>6</v>
      </c>
      <c r="G462" s="3">
        <f t="shared" si="31"/>
        <v>2</v>
      </c>
      <c r="H462" s="2" t="str">
        <f t="shared" si="29"/>
        <v>6' 2"</v>
      </c>
      <c r="I462">
        <v>205</v>
      </c>
      <c r="J462" s="1">
        <v>35759</v>
      </c>
      <c r="K462" t="s">
        <v>24</v>
      </c>
      <c r="L462" t="s">
        <v>921</v>
      </c>
      <c r="M462">
        <v>2017</v>
      </c>
      <c r="N462" t="str">
        <f t="shared" si="30"/>
        <v>Drafted</v>
      </c>
      <c r="O462">
        <v>1</v>
      </c>
      <c r="P462">
        <v>9</v>
      </c>
    </row>
    <row r="463" spans="1:16" x14ac:dyDescent="0.35">
      <c r="A463" t="s">
        <v>953</v>
      </c>
      <c r="B463" t="s">
        <v>952</v>
      </c>
      <c r="C463" t="str">
        <f>CONCATENATE(A463, " ",B463)</f>
        <v>Jabari Smith Jr.</v>
      </c>
      <c r="D463" t="s">
        <v>13</v>
      </c>
      <c r="E463" s="2">
        <v>45088</v>
      </c>
      <c r="F463" s="3">
        <f t="shared" si="28"/>
        <v>6</v>
      </c>
      <c r="G463" s="3">
        <f t="shared" si="31"/>
        <v>11</v>
      </c>
      <c r="H463" s="2" t="str">
        <f t="shared" si="29"/>
        <v>6' 11"</v>
      </c>
      <c r="I463">
        <v>220</v>
      </c>
      <c r="J463" s="1">
        <v>37754</v>
      </c>
      <c r="K463" t="s">
        <v>24</v>
      </c>
      <c r="L463" t="s">
        <v>607</v>
      </c>
      <c r="M463">
        <v>2022</v>
      </c>
      <c r="N463" t="str">
        <f t="shared" si="30"/>
        <v>Drafted</v>
      </c>
      <c r="O463">
        <v>1</v>
      </c>
      <c r="P463">
        <v>3</v>
      </c>
    </row>
    <row r="464" spans="1:16" x14ac:dyDescent="0.35">
      <c r="A464" t="s">
        <v>294</v>
      </c>
      <c r="B464" t="s">
        <v>954</v>
      </c>
      <c r="C464" t="str">
        <f>CONCATENATE(A464, " ",B464)</f>
        <v>Xavier Sneed</v>
      </c>
      <c r="D464" t="s">
        <v>13</v>
      </c>
      <c r="E464" s="2">
        <v>45082</v>
      </c>
      <c r="F464" s="3">
        <f t="shared" si="28"/>
        <v>6</v>
      </c>
      <c r="G464" s="3">
        <f t="shared" si="31"/>
        <v>5</v>
      </c>
      <c r="H464" s="2" t="str">
        <f t="shared" si="29"/>
        <v>6' 5"</v>
      </c>
      <c r="I464">
        <v>215</v>
      </c>
      <c r="J464" s="1">
        <v>35785</v>
      </c>
      <c r="K464" t="s">
        <v>24</v>
      </c>
      <c r="L464" t="s">
        <v>730</v>
      </c>
      <c r="M464">
        <v>2021</v>
      </c>
      <c r="N464" t="str">
        <f t="shared" si="30"/>
        <v>Undrafted</v>
      </c>
    </row>
    <row r="465" spans="1:16" x14ac:dyDescent="0.35">
      <c r="A465" t="s">
        <v>955</v>
      </c>
      <c r="B465" t="s">
        <v>956</v>
      </c>
      <c r="C465" t="str">
        <f>CONCATENATE(A465, " ",B465)</f>
        <v>Jeremy Sochan</v>
      </c>
      <c r="D465" t="s">
        <v>13</v>
      </c>
      <c r="E465" s="2">
        <v>45085</v>
      </c>
      <c r="F465" s="3">
        <f t="shared" si="28"/>
        <v>6</v>
      </c>
      <c r="G465" s="3">
        <f t="shared" si="31"/>
        <v>8</v>
      </c>
      <c r="H465" s="2" t="str">
        <f t="shared" si="29"/>
        <v>6' 8"</v>
      </c>
      <c r="I465">
        <v>230</v>
      </c>
      <c r="J465" s="1">
        <v>37761</v>
      </c>
      <c r="K465" t="s">
        <v>957</v>
      </c>
      <c r="L465" t="s">
        <v>206</v>
      </c>
      <c r="M465">
        <v>2022</v>
      </c>
      <c r="N465" t="str">
        <f t="shared" si="30"/>
        <v>Drafted</v>
      </c>
      <c r="O465">
        <v>1</v>
      </c>
      <c r="P465">
        <v>9</v>
      </c>
    </row>
    <row r="466" spans="1:16" x14ac:dyDescent="0.35">
      <c r="A466" t="s">
        <v>489</v>
      </c>
      <c r="B466" t="s">
        <v>958</v>
      </c>
      <c r="C466" t="str">
        <f>CONCATENATE(A466, " ",B466)</f>
        <v>Jaden Springer</v>
      </c>
      <c r="D466" t="s">
        <v>28</v>
      </c>
      <c r="E466" s="2">
        <v>45081</v>
      </c>
      <c r="F466" s="3">
        <f t="shared" si="28"/>
        <v>6</v>
      </c>
      <c r="G466" s="3">
        <f t="shared" si="31"/>
        <v>4</v>
      </c>
      <c r="H466" s="2" t="str">
        <f t="shared" si="29"/>
        <v>6' 4"</v>
      </c>
      <c r="I466">
        <v>202</v>
      </c>
      <c r="J466" s="1">
        <v>37524</v>
      </c>
      <c r="K466" t="s">
        <v>24</v>
      </c>
      <c r="L466" t="s">
        <v>267</v>
      </c>
      <c r="M466">
        <v>2021</v>
      </c>
      <c r="N466" t="str">
        <f t="shared" si="30"/>
        <v>Drafted</v>
      </c>
      <c r="O466">
        <v>1</v>
      </c>
      <c r="P466">
        <v>28</v>
      </c>
    </row>
    <row r="467" spans="1:16" x14ac:dyDescent="0.35">
      <c r="A467" t="s">
        <v>959</v>
      </c>
      <c r="B467" t="s">
        <v>960</v>
      </c>
      <c r="C467" t="str">
        <f>CONCATENATE(A467, " ",B467)</f>
        <v>Lamar Stevens</v>
      </c>
      <c r="D467" t="s">
        <v>13</v>
      </c>
      <c r="E467" s="2">
        <v>45083</v>
      </c>
      <c r="F467" s="3">
        <f t="shared" si="28"/>
        <v>6</v>
      </c>
      <c r="G467" s="3">
        <f t="shared" si="31"/>
        <v>6</v>
      </c>
      <c r="H467" s="2" t="str">
        <f t="shared" si="29"/>
        <v>6' 6"</v>
      </c>
      <c r="I467">
        <v>230</v>
      </c>
      <c r="J467" s="1">
        <v>35620</v>
      </c>
      <c r="K467" t="s">
        <v>24</v>
      </c>
      <c r="L467" t="s">
        <v>961</v>
      </c>
      <c r="M467">
        <v>2020</v>
      </c>
      <c r="N467" t="str">
        <f t="shared" si="30"/>
        <v>Undrafted</v>
      </c>
    </row>
    <row r="468" spans="1:16" x14ac:dyDescent="0.35">
      <c r="A468" t="s">
        <v>505</v>
      </c>
      <c r="B468" t="s">
        <v>962</v>
      </c>
      <c r="C468" t="str">
        <f>CONCATENATE(A468, " ",B468)</f>
        <v>Isaiah Stewart</v>
      </c>
      <c r="D468" t="s">
        <v>32</v>
      </c>
      <c r="E468" s="2">
        <v>45085</v>
      </c>
      <c r="F468" s="3">
        <f t="shared" si="28"/>
        <v>6</v>
      </c>
      <c r="G468" s="3">
        <f t="shared" si="31"/>
        <v>8</v>
      </c>
      <c r="H468" s="2" t="str">
        <f t="shared" si="29"/>
        <v>6' 8"</v>
      </c>
      <c r="I468">
        <v>250</v>
      </c>
      <c r="J468" s="1">
        <v>37033</v>
      </c>
      <c r="K468" t="s">
        <v>24</v>
      </c>
      <c r="L468" t="s">
        <v>422</v>
      </c>
      <c r="M468">
        <v>2020</v>
      </c>
      <c r="N468" t="str">
        <f t="shared" si="30"/>
        <v>Drafted</v>
      </c>
      <c r="O468">
        <v>1</v>
      </c>
      <c r="P468">
        <v>16</v>
      </c>
    </row>
    <row r="469" spans="1:16" x14ac:dyDescent="0.35">
      <c r="A469" t="s">
        <v>268</v>
      </c>
      <c r="B469" t="s">
        <v>963</v>
      </c>
      <c r="C469" t="str">
        <f>CONCATENATE(A469, " ",B469)</f>
        <v>Max Strus</v>
      </c>
      <c r="D469" t="s">
        <v>122</v>
      </c>
      <c r="E469" s="2">
        <v>45082</v>
      </c>
      <c r="F469" s="3">
        <f t="shared" si="28"/>
        <v>6</v>
      </c>
      <c r="G469" s="3">
        <f t="shared" si="31"/>
        <v>5</v>
      </c>
      <c r="H469" s="2" t="str">
        <f t="shared" si="29"/>
        <v>6' 5"</v>
      </c>
      <c r="I469">
        <v>215</v>
      </c>
      <c r="J469" s="1">
        <v>35152</v>
      </c>
      <c r="K469" t="s">
        <v>24</v>
      </c>
      <c r="L469" t="s">
        <v>873</v>
      </c>
      <c r="M469">
        <v>2019</v>
      </c>
      <c r="N469" t="str">
        <f t="shared" si="30"/>
        <v>Undrafted</v>
      </c>
    </row>
    <row r="470" spans="1:16" x14ac:dyDescent="0.35">
      <c r="A470" t="s">
        <v>214</v>
      </c>
      <c r="B470" t="s">
        <v>964</v>
      </c>
      <c r="C470" t="str">
        <f>CONCATENATE(A470, " ",B470)</f>
        <v>Jalen Suggs</v>
      </c>
      <c r="D470" t="s">
        <v>28</v>
      </c>
      <c r="E470" s="2">
        <v>45082</v>
      </c>
      <c r="F470" s="3">
        <f t="shared" si="28"/>
        <v>6</v>
      </c>
      <c r="G470" s="3">
        <f t="shared" si="31"/>
        <v>5</v>
      </c>
      <c r="H470" s="2" t="str">
        <f t="shared" si="29"/>
        <v>6' 5"</v>
      </c>
      <c r="I470">
        <v>205</v>
      </c>
      <c r="J470" s="1">
        <v>37045</v>
      </c>
      <c r="K470" t="s">
        <v>24</v>
      </c>
      <c r="L470" t="s">
        <v>275</v>
      </c>
      <c r="M470">
        <v>2021</v>
      </c>
      <c r="N470" t="str">
        <f t="shared" si="30"/>
        <v>Drafted</v>
      </c>
      <c r="O470">
        <v>1</v>
      </c>
      <c r="P470">
        <v>5</v>
      </c>
    </row>
    <row r="471" spans="1:16" x14ac:dyDescent="0.35">
      <c r="A471" t="s">
        <v>965</v>
      </c>
      <c r="B471" t="s">
        <v>966</v>
      </c>
      <c r="C471" t="str">
        <f>CONCATENATE(A471, " ",B471)</f>
        <v>Edmond Sumner</v>
      </c>
      <c r="D471" t="s">
        <v>28</v>
      </c>
      <c r="E471" s="2">
        <v>45081</v>
      </c>
      <c r="F471" s="3">
        <f t="shared" si="28"/>
        <v>6</v>
      </c>
      <c r="G471" s="3">
        <f t="shared" si="31"/>
        <v>4</v>
      </c>
      <c r="H471" s="2" t="str">
        <f t="shared" si="29"/>
        <v>6' 4"</v>
      </c>
      <c r="I471">
        <v>196</v>
      </c>
      <c r="J471" s="1">
        <v>35064</v>
      </c>
      <c r="K471" t="s">
        <v>24</v>
      </c>
      <c r="L471" t="s">
        <v>294</v>
      </c>
      <c r="M471">
        <v>2017</v>
      </c>
      <c r="N471" t="str">
        <f t="shared" si="30"/>
        <v>Drafted</v>
      </c>
      <c r="O471">
        <v>2</v>
      </c>
      <c r="P471">
        <v>52</v>
      </c>
    </row>
    <row r="472" spans="1:16" x14ac:dyDescent="0.35">
      <c r="A472" t="s">
        <v>59</v>
      </c>
      <c r="B472" t="s">
        <v>967</v>
      </c>
      <c r="C472" t="str">
        <f>CONCATENATE(A472, " ",B472)</f>
        <v>Cole Swider</v>
      </c>
      <c r="D472" t="s">
        <v>13</v>
      </c>
      <c r="E472" s="2">
        <v>45086</v>
      </c>
      <c r="F472" s="3">
        <f t="shared" si="28"/>
        <v>6</v>
      </c>
      <c r="G472" s="3">
        <f t="shared" si="31"/>
        <v>9</v>
      </c>
      <c r="H472" s="2" t="str">
        <f t="shared" si="29"/>
        <v>6' 9"</v>
      </c>
      <c r="I472">
        <v>220</v>
      </c>
      <c r="J472" s="1">
        <v>36288</v>
      </c>
      <c r="K472" t="s">
        <v>24</v>
      </c>
      <c r="L472" t="s">
        <v>157</v>
      </c>
      <c r="M472">
        <v>2022</v>
      </c>
      <c r="N472" t="str">
        <f t="shared" si="30"/>
        <v>Undrafted</v>
      </c>
    </row>
    <row r="473" spans="1:16" x14ac:dyDescent="0.35">
      <c r="A473" t="s">
        <v>968</v>
      </c>
      <c r="B473" t="s">
        <v>969</v>
      </c>
      <c r="C473" t="str">
        <f>CONCATENATE(A473, " ",B473)</f>
        <v>Jae'Sean Tate</v>
      </c>
      <c r="D473" t="s">
        <v>13</v>
      </c>
      <c r="E473" s="2">
        <v>45082</v>
      </c>
      <c r="F473" s="3">
        <f t="shared" si="28"/>
        <v>6</v>
      </c>
      <c r="G473" s="3">
        <f t="shared" si="31"/>
        <v>5</v>
      </c>
      <c r="H473" s="2" t="str">
        <f t="shared" si="29"/>
        <v>6' 5"</v>
      </c>
      <c r="I473">
        <v>230</v>
      </c>
      <c r="J473" s="1">
        <v>35000</v>
      </c>
      <c r="K473" t="s">
        <v>24</v>
      </c>
      <c r="L473" t="s">
        <v>119</v>
      </c>
      <c r="M473">
        <v>2020</v>
      </c>
      <c r="N473" t="str">
        <f t="shared" si="30"/>
        <v>Undrafted</v>
      </c>
    </row>
    <row r="474" spans="1:16" x14ac:dyDescent="0.35">
      <c r="A474" t="s">
        <v>970</v>
      </c>
      <c r="B474" t="s">
        <v>971</v>
      </c>
      <c r="C474" t="str">
        <f>CONCATENATE(A474, " ",B474)</f>
        <v>Jayson Tatum</v>
      </c>
      <c r="D474" t="s">
        <v>49</v>
      </c>
      <c r="E474" s="2">
        <v>45085</v>
      </c>
      <c r="F474" s="3">
        <f t="shared" si="28"/>
        <v>6</v>
      </c>
      <c r="G474" s="3">
        <f t="shared" si="31"/>
        <v>8</v>
      </c>
      <c r="H474" s="2" t="str">
        <f t="shared" si="29"/>
        <v>6' 8"</v>
      </c>
      <c r="I474">
        <v>210</v>
      </c>
      <c r="J474" s="1">
        <v>35857</v>
      </c>
      <c r="K474" t="s">
        <v>24</v>
      </c>
      <c r="L474" t="s">
        <v>41</v>
      </c>
      <c r="M474">
        <v>2017</v>
      </c>
      <c r="N474" t="str">
        <f t="shared" si="30"/>
        <v>Drafted</v>
      </c>
      <c r="O474">
        <v>1</v>
      </c>
      <c r="P474">
        <v>3</v>
      </c>
    </row>
    <row r="475" spans="1:16" x14ac:dyDescent="0.35">
      <c r="A475" t="s">
        <v>895</v>
      </c>
      <c r="B475" t="s">
        <v>972</v>
      </c>
      <c r="C475" t="str">
        <f>CONCATENATE(A475, " ",B475)</f>
        <v>Terry Taylor</v>
      </c>
      <c r="D475" t="s">
        <v>13</v>
      </c>
      <c r="E475" s="2">
        <v>45081</v>
      </c>
      <c r="F475" s="3">
        <f t="shared" si="28"/>
        <v>6</v>
      </c>
      <c r="G475" s="3">
        <f t="shared" si="31"/>
        <v>4</v>
      </c>
      <c r="H475" s="2" t="str">
        <f t="shared" si="29"/>
        <v>6' 4"</v>
      </c>
      <c r="I475">
        <v>230</v>
      </c>
      <c r="J475" s="1">
        <v>36426</v>
      </c>
      <c r="K475" t="s">
        <v>24</v>
      </c>
      <c r="L475" t="s">
        <v>973</v>
      </c>
      <c r="M475">
        <v>2021</v>
      </c>
      <c r="N475" t="str">
        <f t="shared" si="30"/>
        <v>Undrafted</v>
      </c>
    </row>
    <row r="476" spans="1:16" x14ac:dyDescent="0.35">
      <c r="A476" t="s">
        <v>974</v>
      </c>
      <c r="B476" t="s">
        <v>975</v>
      </c>
      <c r="C476" t="str">
        <f>CONCATENATE(A476, " ",B476)</f>
        <v>Garrett Temple</v>
      </c>
      <c r="D476" t="s">
        <v>122</v>
      </c>
      <c r="E476" s="2">
        <v>45083</v>
      </c>
      <c r="F476" s="3">
        <f t="shared" si="28"/>
        <v>6</v>
      </c>
      <c r="G476" s="3">
        <f t="shared" si="31"/>
        <v>6</v>
      </c>
      <c r="H476" s="2" t="str">
        <f t="shared" si="29"/>
        <v>6' 6"</v>
      </c>
      <c r="I476">
        <v>195</v>
      </c>
      <c r="J476" s="1">
        <v>31540</v>
      </c>
      <c r="K476" t="s">
        <v>24</v>
      </c>
      <c r="L476" t="s">
        <v>325</v>
      </c>
      <c r="M476">
        <v>2009</v>
      </c>
      <c r="N476" t="str">
        <f t="shared" si="30"/>
        <v>Undrafted</v>
      </c>
    </row>
    <row r="477" spans="1:16" x14ac:dyDescent="0.35">
      <c r="A477" t="s">
        <v>976</v>
      </c>
      <c r="B477" t="s">
        <v>895</v>
      </c>
      <c r="C477" t="str">
        <f>CONCATENATE(A477, " ",B477)</f>
        <v>Dalen Terry</v>
      </c>
      <c r="D477" t="s">
        <v>13</v>
      </c>
      <c r="E477" s="2">
        <v>45084</v>
      </c>
      <c r="F477" s="3">
        <f t="shared" si="28"/>
        <v>6</v>
      </c>
      <c r="G477" s="3">
        <f t="shared" si="31"/>
        <v>7</v>
      </c>
      <c r="H477" s="2" t="str">
        <f t="shared" si="29"/>
        <v>6' 7"</v>
      </c>
      <c r="I477">
        <v>195</v>
      </c>
      <c r="J477" s="1">
        <v>37449</v>
      </c>
      <c r="K477" t="s">
        <v>24</v>
      </c>
      <c r="L477" t="s">
        <v>79</v>
      </c>
      <c r="M477">
        <v>2022</v>
      </c>
      <c r="N477" t="str">
        <f t="shared" si="30"/>
        <v>Drafted</v>
      </c>
      <c r="O477">
        <v>1</v>
      </c>
      <c r="P477">
        <v>18</v>
      </c>
    </row>
    <row r="478" spans="1:16" x14ac:dyDescent="0.35">
      <c r="A478" t="s">
        <v>426</v>
      </c>
      <c r="B478" t="s">
        <v>977</v>
      </c>
      <c r="C478" t="str">
        <f>CONCATENATE(A478, " ",B478)</f>
        <v>Daniel Theis</v>
      </c>
      <c r="D478" t="s">
        <v>32</v>
      </c>
      <c r="E478" s="2">
        <v>45085</v>
      </c>
      <c r="F478" s="3">
        <f t="shared" si="28"/>
        <v>6</v>
      </c>
      <c r="G478" s="3">
        <f t="shared" si="31"/>
        <v>8</v>
      </c>
      <c r="H478" s="2" t="str">
        <f t="shared" si="29"/>
        <v>6' 8"</v>
      </c>
      <c r="I478">
        <v>245</v>
      </c>
      <c r="J478" s="1">
        <v>33698</v>
      </c>
      <c r="K478" t="s">
        <v>507</v>
      </c>
      <c r="L478" t="s">
        <v>978</v>
      </c>
      <c r="M478">
        <v>2017</v>
      </c>
      <c r="N478" t="str">
        <f t="shared" si="30"/>
        <v>Undrafted</v>
      </c>
    </row>
    <row r="479" spans="1:16" x14ac:dyDescent="0.35">
      <c r="A479" t="s">
        <v>869</v>
      </c>
      <c r="B479" t="s">
        <v>216</v>
      </c>
      <c r="C479" t="str">
        <f>CONCATENATE(A479, " ",B479)</f>
        <v>Cam Thomas</v>
      </c>
      <c r="D479" t="s">
        <v>28</v>
      </c>
      <c r="E479" s="2">
        <v>45080</v>
      </c>
      <c r="F479" s="3">
        <f t="shared" si="28"/>
        <v>6</v>
      </c>
      <c r="G479" s="3">
        <f t="shared" si="31"/>
        <v>3</v>
      </c>
      <c r="H479" s="2" t="str">
        <f t="shared" si="29"/>
        <v>6' 3"</v>
      </c>
      <c r="I479">
        <v>210</v>
      </c>
      <c r="J479" s="1">
        <v>37177</v>
      </c>
      <c r="K479" t="s">
        <v>479</v>
      </c>
      <c r="L479" t="s">
        <v>325</v>
      </c>
      <c r="M479">
        <v>2021</v>
      </c>
      <c r="N479" t="str">
        <f t="shared" si="30"/>
        <v>Drafted</v>
      </c>
      <c r="O479">
        <v>1</v>
      </c>
      <c r="P479">
        <v>27</v>
      </c>
    </row>
    <row r="480" spans="1:16" x14ac:dyDescent="0.35">
      <c r="A480" t="s">
        <v>979</v>
      </c>
      <c r="B480" t="s">
        <v>980</v>
      </c>
      <c r="C480" t="str">
        <f>CONCATENATE(A480, " ",B480)</f>
        <v>Klay Thompson</v>
      </c>
      <c r="D480" t="s">
        <v>28</v>
      </c>
      <c r="E480" s="2">
        <v>45083</v>
      </c>
      <c r="F480" s="3">
        <f t="shared" si="28"/>
        <v>6</v>
      </c>
      <c r="G480" s="3">
        <f t="shared" si="31"/>
        <v>6</v>
      </c>
      <c r="H480" s="2" t="str">
        <f t="shared" si="29"/>
        <v>6' 6"</v>
      </c>
      <c r="I480">
        <v>220</v>
      </c>
      <c r="J480" s="1">
        <v>32912</v>
      </c>
      <c r="K480" t="s">
        <v>24</v>
      </c>
      <c r="L480" t="s">
        <v>981</v>
      </c>
      <c r="M480">
        <v>2011</v>
      </c>
      <c r="N480" t="str">
        <f t="shared" si="30"/>
        <v>Drafted</v>
      </c>
      <c r="O480">
        <v>1</v>
      </c>
      <c r="P480">
        <v>11</v>
      </c>
    </row>
    <row r="481" spans="1:16" x14ac:dyDescent="0.35">
      <c r="A481" t="s">
        <v>982</v>
      </c>
      <c r="B481" t="s">
        <v>980</v>
      </c>
      <c r="C481" t="str">
        <f>CONCATENATE(A481, " ",B481)</f>
        <v>Tristan Thompson</v>
      </c>
      <c r="D481" t="s">
        <v>23</v>
      </c>
      <c r="E481" s="2">
        <v>45086</v>
      </c>
      <c r="F481" s="3">
        <f t="shared" si="28"/>
        <v>6</v>
      </c>
      <c r="G481" s="3">
        <f t="shared" si="31"/>
        <v>9</v>
      </c>
      <c r="H481" s="2" t="str">
        <f t="shared" si="29"/>
        <v>6' 9"</v>
      </c>
      <c r="I481">
        <v>254</v>
      </c>
      <c r="J481" s="1">
        <v>33310</v>
      </c>
      <c r="K481" t="s">
        <v>37</v>
      </c>
      <c r="L481" t="s">
        <v>983</v>
      </c>
      <c r="M481">
        <v>2011</v>
      </c>
      <c r="N481" t="str">
        <f t="shared" si="30"/>
        <v>Drafted</v>
      </c>
      <c r="O481">
        <v>1</v>
      </c>
      <c r="P481">
        <v>4</v>
      </c>
    </row>
    <row r="482" spans="1:16" x14ac:dyDescent="0.35">
      <c r="A482" t="s">
        <v>984</v>
      </c>
      <c r="B482" t="s">
        <v>985</v>
      </c>
      <c r="C482" t="str">
        <f>CONCATENATE(A482, " ",B482)</f>
        <v>JT Thor</v>
      </c>
      <c r="D482" t="s">
        <v>13</v>
      </c>
      <c r="E482" s="2">
        <v>45086</v>
      </c>
      <c r="F482" s="3">
        <f t="shared" si="28"/>
        <v>6</v>
      </c>
      <c r="G482" s="3">
        <f t="shared" si="31"/>
        <v>9</v>
      </c>
      <c r="H482" s="2" t="str">
        <f t="shared" si="29"/>
        <v>6' 9"</v>
      </c>
      <c r="I482">
        <v>203</v>
      </c>
      <c r="J482" s="1">
        <v>37494</v>
      </c>
      <c r="K482" t="s">
        <v>24</v>
      </c>
      <c r="L482" t="s">
        <v>607</v>
      </c>
      <c r="M482">
        <v>2021</v>
      </c>
      <c r="N482" t="str">
        <f t="shared" si="30"/>
        <v>Drafted</v>
      </c>
      <c r="O482">
        <v>2</v>
      </c>
      <c r="P482">
        <v>37</v>
      </c>
    </row>
    <row r="483" spans="1:16" x14ac:dyDescent="0.35">
      <c r="A483" t="s">
        <v>986</v>
      </c>
      <c r="B483" t="s">
        <v>987</v>
      </c>
      <c r="C483" t="str">
        <f>CONCATENATE(A483, " ",B483)</f>
        <v>Matisse Thybulle</v>
      </c>
      <c r="D483" t="s">
        <v>122</v>
      </c>
      <c r="E483" s="2">
        <v>45082</v>
      </c>
      <c r="F483" s="3">
        <f t="shared" si="28"/>
        <v>6</v>
      </c>
      <c r="G483" s="3">
        <f t="shared" si="31"/>
        <v>5</v>
      </c>
      <c r="H483" s="2" t="str">
        <f t="shared" si="29"/>
        <v>6' 5"</v>
      </c>
      <c r="I483">
        <v>201</v>
      </c>
      <c r="J483" s="1">
        <v>35493</v>
      </c>
      <c r="K483" t="s">
        <v>24</v>
      </c>
      <c r="L483" t="s">
        <v>422</v>
      </c>
      <c r="M483">
        <v>2019</v>
      </c>
      <c r="N483" t="str">
        <f t="shared" si="30"/>
        <v>Drafted</v>
      </c>
      <c r="O483">
        <v>1</v>
      </c>
      <c r="P483">
        <v>20</v>
      </c>
    </row>
    <row r="484" spans="1:16" x14ac:dyDescent="0.35">
      <c r="A484" t="s">
        <v>294</v>
      </c>
      <c r="B484" t="s">
        <v>988</v>
      </c>
      <c r="C484" t="str">
        <f>CONCATENATE(A484, " ",B484)</f>
        <v>Xavier Tillman</v>
      </c>
      <c r="D484" t="s">
        <v>13</v>
      </c>
      <c r="E484" s="2">
        <v>45084</v>
      </c>
      <c r="F484" s="3">
        <f t="shared" si="28"/>
        <v>6</v>
      </c>
      <c r="G484" s="3">
        <f t="shared" si="31"/>
        <v>7</v>
      </c>
      <c r="H484" s="2" t="str">
        <f t="shared" si="29"/>
        <v>6' 7"</v>
      </c>
      <c r="I484">
        <v>245</v>
      </c>
      <c r="J484" s="1">
        <v>36172</v>
      </c>
      <c r="K484" t="s">
        <v>24</v>
      </c>
      <c r="L484" t="s">
        <v>270</v>
      </c>
      <c r="M484">
        <v>2020</v>
      </c>
      <c r="N484" t="str">
        <f t="shared" si="30"/>
        <v>Drafted</v>
      </c>
      <c r="O484">
        <v>2</v>
      </c>
      <c r="P484">
        <v>35</v>
      </c>
    </row>
    <row r="485" spans="1:16" x14ac:dyDescent="0.35">
      <c r="A485" t="s">
        <v>505</v>
      </c>
      <c r="B485" t="s">
        <v>989</v>
      </c>
      <c r="C485" t="str">
        <f>CONCATENATE(A485, " ",B485)</f>
        <v>Isaiah Todd</v>
      </c>
      <c r="D485" t="s">
        <v>13</v>
      </c>
      <c r="E485" s="2">
        <v>45086</v>
      </c>
      <c r="F485" s="3">
        <f t="shared" si="28"/>
        <v>6</v>
      </c>
      <c r="G485" s="3">
        <f t="shared" si="31"/>
        <v>9</v>
      </c>
      <c r="H485" s="2" t="str">
        <f t="shared" si="29"/>
        <v>6' 9"</v>
      </c>
      <c r="I485">
        <v>219</v>
      </c>
      <c r="J485" s="1">
        <v>37181</v>
      </c>
      <c r="K485" t="s">
        <v>24</v>
      </c>
      <c r="L485" t="s">
        <v>135</v>
      </c>
      <c r="M485">
        <v>2021</v>
      </c>
      <c r="N485" t="str">
        <f t="shared" si="30"/>
        <v>Drafted</v>
      </c>
      <c r="O485">
        <v>2</v>
      </c>
      <c r="P485">
        <v>31</v>
      </c>
    </row>
    <row r="486" spans="1:16" x14ac:dyDescent="0.35">
      <c r="A486" t="s">
        <v>990</v>
      </c>
      <c r="B486" t="s">
        <v>991</v>
      </c>
      <c r="C486" t="str">
        <f>CONCATENATE(A486, " ",B486)</f>
        <v>Obi Toppin</v>
      </c>
      <c r="D486" t="s">
        <v>13</v>
      </c>
      <c r="E486" s="2">
        <v>45086</v>
      </c>
      <c r="F486" s="3">
        <f t="shared" si="28"/>
        <v>6</v>
      </c>
      <c r="G486" s="3">
        <f t="shared" si="31"/>
        <v>9</v>
      </c>
      <c r="H486" s="2" t="str">
        <f t="shared" si="29"/>
        <v>6' 9"</v>
      </c>
      <c r="I486">
        <v>220</v>
      </c>
      <c r="J486" s="1">
        <v>35858</v>
      </c>
      <c r="K486" t="s">
        <v>24</v>
      </c>
      <c r="L486" t="s">
        <v>992</v>
      </c>
      <c r="M486">
        <v>2020</v>
      </c>
      <c r="N486" t="str">
        <f t="shared" si="30"/>
        <v>Drafted</v>
      </c>
      <c r="O486">
        <v>1</v>
      </c>
      <c r="P486">
        <v>8</v>
      </c>
    </row>
    <row r="487" spans="1:16" x14ac:dyDescent="0.35">
      <c r="A487" t="s">
        <v>993</v>
      </c>
      <c r="B487" t="s">
        <v>994</v>
      </c>
      <c r="C487" t="str">
        <f>CONCATENATE(A487, " ",B487)</f>
        <v>Juan Toscano-Anderson</v>
      </c>
      <c r="D487" t="s">
        <v>13</v>
      </c>
      <c r="E487" s="2">
        <v>45083</v>
      </c>
      <c r="F487" s="3">
        <f t="shared" si="28"/>
        <v>6</v>
      </c>
      <c r="G487" s="3">
        <f t="shared" si="31"/>
        <v>6</v>
      </c>
      <c r="H487" s="2" t="str">
        <f t="shared" si="29"/>
        <v>6' 6"</v>
      </c>
      <c r="I487">
        <v>209</v>
      </c>
      <c r="J487" s="1">
        <v>34069</v>
      </c>
      <c r="K487" t="s">
        <v>24</v>
      </c>
      <c r="L487" t="s">
        <v>229</v>
      </c>
      <c r="M487">
        <v>2019</v>
      </c>
      <c r="N487" t="str">
        <f t="shared" si="30"/>
        <v>Undrafted</v>
      </c>
    </row>
    <row r="488" spans="1:16" x14ac:dyDescent="0.35">
      <c r="A488" t="s">
        <v>995</v>
      </c>
      <c r="B488" t="s">
        <v>996</v>
      </c>
      <c r="C488" t="str">
        <f>CONCATENATE(A488, " ",B488)</f>
        <v>Karl-Anthony Towns</v>
      </c>
      <c r="D488" t="s">
        <v>23</v>
      </c>
      <c r="E488" s="2">
        <v>36708</v>
      </c>
      <c r="F488" s="3">
        <f t="shared" si="28"/>
        <v>7</v>
      </c>
      <c r="G488" s="3">
        <f t="shared" si="31"/>
        <v>1</v>
      </c>
      <c r="H488" s="2" t="str">
        <f t="shared" si="29"/>
        <v>7' 1"</v>
      </c>
      <c r="I488">
        <v>248</v>
      </c>
      <c r="J488" s="1">
        <v>35018</v>
      </c>
      <c r="K488" t="s">
        <v>24</v>
      </c>
      <c r="L488" t="s">
        <v>25</v>
      </c>
      <c r="M488">
        <v>2015</v>
      </c>
      <c r="N488" t="str">
        <f t="shared" si="30"/>
        <v>Drafted</v>
      </c>
      <c r="O488">
        <v>1</v>
      </c>
      <c r="P488">
        <v>1</v>
      </c>
    </row>
    <row r="489" spans="1:16" x14ac:dyDescent="0.35">
      <c r="A489" t="s">
        <v>496</v>
      </c>
      <c r="B489" t="s">
        <v>997</v>
      </c>
      <c r="C489" t="str">
        <f>CONCATENATE(A489, " ",B489)</f>
        <v>Gary Trent Jr.</v>
      </c>
      <c r="D489" t="s">
        <v>122</v>
      </c>
      <c r="E489" s="2">
        <v>45082</v>
      </c>
      <c r="F489" s="3">
        <f t="shared" si="28"/>
        <v>6</v>
      </c>
      <c r="G489" s="3">
        <f t="shared" si="31"/>
        <v>5</v>
      </c>
      <c r="H489" s="2" t="str">
        <f t="shared" si="29"/>
        <v>6' 5"</v>
      </c>
      <c r="I489">
        <v>209</v>
      </c>
      <c r="J489" s="1">
        <v>36178</v>
      </c>
      <c r="K489" t="s">
        <v>24</v>
      </c>
      <c r="L489" t="s">
        <v>41</v>
      </c>
      <c r="M489">
        <v>2018</v>
      </c>
      <c r="N489" t="str">
        <f t="shared" si="30"/>
        <v>Drafted</v>
      </c>
      <c r="O489">
        <v>2</v>
      </c>
      <c r="P489">
        <v>37</v>
      </c>
    </row>
    <row r="490" spans="1:16" x14ac:dyDescent="0.35">
      <c r="A490" t="s">
        <v>998</v>
      </c>
      <c r="B490" t="s">
        <v>999</v>
      </c>
      <c r="C490" t="str">
        <f>CONCATENATE(A490, " ",B490)</f>
        <v>P.J. Tucker</v>
      </c>
      <c r="D490" t="s">
        <v>13</v>
      </c>
      <c r="E490" s="2">
        <v>45082</v>
      </c>
      <c r="F490" s="3">
        <f t="shared" si="28"/>
        <v>6</v>
      </c>
      <c r="G490" s="3">
        <f t="shared" si="31"/>
        <v>5</v>
      </c>
      <c r="H490" s="2" t="str">
        <f t="shared" si="29"/>
        <v>6' 5"</v>
      </c>
      <c r="I490">
        <v>245</v>
      </c>
      <c r="J490" s="1">
        <v>31172</v>
      </c>
      <c r="K490" t="s">
        <v>24</v>
      </c>
      <c r="L490" t="s">
        <v>43</v>
      </c>
      <c r="M490">
        <v>2006</v>
      </c>
      <c r="N490" t="str">
        <f t="shared" si="30"/>
        <v>Drafted</v>
      </c>
      <c r="O490">
        <v>2</v>
      </c>
      <c r="P490">
        <v>35</v>
      </c>
    </row>
    <row r="491" spans="1:16" x14ac:dyDescent="0.35">
      <c r="A491" t="s">
        <v>1000</v>
      </c>
      <c r="B491" t="s">
        <v>1001</v>
      </c>
      <c r="C491" t="str">
        <f>CONCATENATE(A491, " ",B491)</f>
        <v>Myles Turner</v>
      </c>
      <c r="D491" t="s">
        <v>23</v>
      </c>
      <c r="E491" s="2">
        <v>45088</v>
      </c>
      <c r="F491" s="3">
        <f t="shared" si="28"/>
        <v>6</v>
      </c>
      <c r="G491" s="3">
        <f t="shared" si="31"/>
        <v>11</v>
      </c>
      <c r="H491" s="2" t="str">
        <f t="shared" si="29"/>
        <v>6' 11"</v>
      </c>
      <c r="I491">
        <v>250</v>
      </c>
      <c r="J491" s="1">
        <v>35148</v>
      </c>
      <c r="K491" t="s">
        <v>24</v>
      </c>
      <c r="L491" t="s">
        <v>43</v>
      </c>
      <c r="M491">
        <v>2015</v>
      </c>
      <c r="N491" t="str">
        <f t="shared" si="30"/>
        <v>Drafted</v>
      </c>
      <c r="O491">
        <v>1</v>
      </c>
      <c r="P491">
        <v>11</v>
      </c>
    </row>
    <row r="492" spans="1:16" x14ac:dyDescent="0.35">
      <c r="A492" t="s">
        <v>584</v>
      </c>
      <c r="B492" t="s">
        <v>1002</v>
      </c>
      <c r="C492" t="str">
        <f>CONCATENATE(A492, " ",B492)</f>
        <v>Stanley Umude</v>
      </c>
      <c r="D492" t="s">
        <v>28</v>
      </c>
      <c r="E492" s="2">
        <v>45083</v>
      </c>
      <c r="F492" s="3">
        <f t="shared" si="28"/>
        <v>6</v>
      </c>
      <c r="G492" s="3">
        <f t="shared" si="31"/>
        <v>6</v>
      </c>
      <c r="H492" s="2" t="str">
        <f t="shared" si="29"/>
        <v>6' 6"</v>
      </c>
      <c r="I492">
        <v>210</v>
      </c>
      <c r="J492" s="1">
        <v>36262</v>
      </c>
      <c r="K492" t="s">
        <v>24</v>
      </c>
      <c r="L492" t="s">
        <v>141</v>
      </c>
      <c r="M492">
        <v>2022</v>
      </c>
      <c r="N492" t="str">
        <f t="shared" si="30"/>
        <v>Undrafted</v>
      </c>
    </row>
    <row r="493" spans="1:16" x14ac:dyDescent="0.35">
      <c r="A493" t="s">
        <v>1003</v>
      </c>
      <c r="B493" t="s">
        <v>1004</v>
      </c>
      <c r="C493" t="str">
        <f>CONCATENATE(A493, " ",B493)</f>
        <v>Jonas Valanciunas</v>
      </c>
      <c r="D493" t="s">
        <v>18</v>
      </c>
      <c r="E493" s="2">
        <v>45088</v>
      </c>
      <c r="F493" s="3">
        <f t="shared" si="28"/>
        <v>6</v>
      </c>
      <c r="G493" s="3">
        <f t="shared" si="31"/>
        <v>11</v>
      </c>
      <c r="H493" s="2" t="str">
        <f t="shared" si="29"/>
        <v>6' 11"</v>
      </c>
      <c r="I493">
        <v>265</v>
      </c>
      <c r="J493" s="1">
        <v>33730</v>
      </c>
      <c r="K493" t="s">
        <v>905</v>
      </c>
      <c r="L493" t="s">
        <v>1005</v>
      </c>
      <c r="M493">
        <v>2011</v>
      </c>
      <c r="N493" t="str">
        <f t="shared" si="30"/>
        <v>Drafted</v>
      </c>
      <c r="O493">
        <v>1</v>
      </c>
      <c r="P493">
        <v>5</v>
      </c>
    </row>
    <row r="494" spans="1:16" x14ac:dyDescent="0.35">
      <c r="A494" t="s">
        <v>1006</v>
      </c>
      <c r="B494" t="s">
        <v>1007</v>
      </c>
      <c r="C494" t="str">
        <f>CONCATENATE(A494, " ",B494)</f>
        <v>Fred VanVleet</v>
      </c>
      <c r="D494" t="s">
        <v>28</v>
      </c>
      <c r="E494" s="2">
        <v>36678</v>
      </c>
      <c r="F494" s="3">
        <f t="shared" si="28"/>
        <v>6</v>
      </c>
      <c r="G494" s="3">
        <f t="shared" si="31"/>
        <v>1</v>
      </c>
      <c r="H494" s="2" t="str">
        <f t="shared" si="29"/>
        <v>6' 1"</v>
      </c>
      <c r="I494">
        <v>197</v>
      </c>
      <c r="J494" s="1">
        <v>34390</v>
      </c>
      <c r="K494" t="s">
        <v>24</v>
      </c>
      <c r="L494" t="s">
        <v>929</v>
      </c>
      <c r="M494">
        <v>2016</v>
      </c>
      <c r="N494" t="str">
        <f t="shared" si="30"/>
        <v>Undrafted</v>
      </c>
    </row>
    <row r="495" spans="1:16" x14ac:dyDescent="0.35">
      <c r="A495" t="s">
        <v>1008</v>
      </c>
      <c r="B495" t="s">
        <v>429</v>
      </c>
      <c r="C495" t="str">
        <f>CONCATENATE(A495, " ",B495)</f>
        <v>Jarred Vanderbilt</v>
      </c>
      <c r="D495" t="s">
        <v>13</v>
      </c>
      <c r="E495" s="2">
        <v>45085</v>
      </c>
      <c r="F495" s="3">
        <f t="shared" si="28"/>
        <v>6</v>
      </c>
      <c r="G495" s="3">
        <f t="shared" si="31"/>
        <v>8</v>
      </c>
      <c r="H495" s="2" t="str">
        <f t="shared" si="29"/>
        <v>6' 8"</v>
      </c>
      <c r="I495">
        <v>214</v>
      </c>
      <c r="J495" s="1">
        <v>36253</v>
      </c>
      <c r="K495" t="s">
        <v>24</v>
      </c>
      <c r="L495" t="s">
        <v>25</v>
      </c>
      <c r="M495">
        <v>2018</v>
      </c>
      <c r="N495" t="str">
        <f t="shared" si="30"/>
        <v>Drafted</v>
      </c>
      <c r="O495">
        <v>2</v>
      </c>
      <c r="P495">
        <v>41</v>
      </c>
    </row>
    <row r="496" spans="1:16" x14ac:dyDescent="0.35">
      <c r="A496" t="s">
        <v>170</v>
      </c>
      <c r="B496" t="s">
        <v>1009</v>
      </c>
      <c r="C496" t="str">
        <f>CONCATENATE(A496, " ",B496)</f>
        <v>Devin Vassell</v>
      </c>
      <c r="D496" t="s">
        <v>122</v>
      </c>
      <c r="E496" s="2">
        <v>45082</v>
      </c>
      <c r="F496" s="3">
        <f t="shared" si="28"/>
        <v>6</v>
      </c>
      <c r="G496" s="3">
        <f t="shared" si="31"/>
        <v>5</v>
      </c>
      <c r="H496" s="2" t="str">
        <f t="shared" si="29"/>
        <v>6' 5"</v>
      </c>
      <c r="I496">
        <v>200</v>
      </c>
      <c r="J496" s="1">
        <v>36761</v>
      </c>
      <c r="K496" t="s">
        <v>24</v>
      </c>
      <c r="L496" t="s">
        <v>109</v>
      </c>
      <c r="M496">
        <v>2020</v>
      </c>
      <c r="N496" t="str">
        <f t="shared" si="30"/>
        <v>Drafted</v>
      </c>
      <c r="O496">
        <v>1</v>
      </c>
      <c r="P496">
        <v>11</v>
      </c>
    </row>
    <row r="497" spans="1:16" x14ac:dyDescent="0.35">
      <c r="A497" t="s">
        <v>1010</v>
      </c>
      <c r="B497" t="s">
        <v>1011</v>
      </c>
      <c r="C497" t="str">
        <f>CONCATENATE(A497, " ",B497)</f>
        <v>Gabe Vincent</v>
      </c>
      <c r="D497" t="s">
        <v>28</v>
      </c>
      <c r="E497" s="2">
        <v>45079</v>
      </c>
      <c r="F497" s="3">
        <f t="shared" si="28"/>
        <v>6</v>
      </c>
      <c r="G497" s="3">
        <f t="shared" si="31"/>
        <v>2</v>
      </c>
      <c r="H497" s="2" t="str">
        <f t="shared" si="29"/>
        <v>6' 2"</v>
      </c>
      <c r="I497">
        <v>200</v>
      </c>
      <c r="J497" s="1">
        <v>35230</v>
      </c>
      <c r="K497" t="s">
        <v>24</v>
      </c>
      <c r="L497" t="s">
        <v>1012</v>
      </c>
      <c r="M497">
        <v>2019</v>
      </c>
      <c r="N497" t="str">
        <f t="shared" si="30"/>
        <v>Undrafted</v>
      </c>
    </row>
    <row r="498" spans="1:16" x14ac:dyDescent="0.35">
      <c r="A498" t="s">
        <v>1013</v>
      </c>
      <c r="B498" t="s">
        <v>1014</v>
      </c>
      <c r="C498" t="str">
        <f>CONCATENATE(A498, " ",B498)</f>
        <v>Noah Vonleh</v>
      </c>
      <c r="D498" t="s">
        <v>13</v>
      </c>
      <c r="E498" s="2">
        <v>45087</v>
      </c>
      <c r="F498" s="3">
        <f t="shared" si="28"/>
        <v>6</v>
      </c>
      <c r="G498" s="3">
        <f t="shared" si="31"/>
        <v>10</v>
      </c>
      <c r="H498" s="2" t="str">
        <f t="shared" si="29"/>
        <v>6' 10"</v>
      </c>
      <c r="I498">
        <v>257</v>
      </c>
      <c r="J498" s="1">
        <v>34935</v>
      </c>
      <c r="K498" t="s">
        <v>24</v>
      </c>
      <c r="L498" t="s">
        <v>65</v>
      </c>
      <c r="M498">
        <v>2014</v>
      </c>
      <c r="N498" t="str">
        <f t="shared" si="30"/>
        <v>Drafted</v>
      </c>
      <c r="O498">
        <v>1</v>
      </c>
      <c r="P498">
        <v>9</v>
      </c>
    </row>
    <row r="499" spans="1:16" x14ac:dyDescent="0.35">
      <c r="A499" t="s">
        <v>585</v>
      </c>
      <c r="B499" t="s">
        <v>1015</v>
      </c>
      <c r="C499" t="str">
        <f>CONCATENATE(A499, " ",B499)</f>
        <v>Nikola Vucevic</v>
      </c>
      <c r="D499" t="s">
        <v>18</v>
      </c>
      <c r="E499" s="2">
        <v>45087</v>
      </c>
      <c r="F499" s="3">
        <f t="shared" si="28"/>
        <v>6</v>
      </c>
      <c r="G499" s="3">
        <f t="shared" si="31"/>
        <v>10</v>
      </c>
      <c r="H499" s="2" t="str">
        <f t="shared" si="29"/>
        <v>6' 10"</v>
      </c>
      <c r="I499">
        <v>260</v>
      </c>
      <c r="J499" s="1">
        <v>33170</v>
      </c>
      <c r="K499" t="s">
        <v>942</v>
      </c>
      <c r="L499" t="s">
        <v>328</v>
      </c>
      <c r="M499">
        <v>2011</v>
      </c>
      <c r="N499" t="str">
        <f t="shared" si="30"/>
        <v>Drafted</v>
      </c>
      <c r="O499">
        <v>1</v>
      </c>
      <c r="P499">
        <v>16</v>
      </c>
    </row>
    <row r="500" spans="1:16" x14ac:dyDescent="0.35">
      <c r="A500" t="s">
        <v>1016</v>
      </c>
      <c r="B500" t="s">
        <v>1017</v>
      </c>
      <c r="C500" t="str">
        <f>CONCATENATE(A500, " ",B500)</f>
        <v>Dean Wade</v>
      </c>
      <c r="D500" t="s">
        <v>32</v>
      </c>
      <c r="E500" s="2">
        <v>45086</v>
      </c>
      <c r="F500" s="3">
        <f t="shared" si="28"/>
        <v>6</v>
      </c>
      <c r="G500" s="3">
        <f t="shared" si="31"/>
        <v>9</v>
      </c>
      <c r="H500" s="2" t="str">
        <f t="shared" si="29"/>
        <v>6' 9"</v>
      </c>
      <c r="I500">
        <v>228</v>
      </c>
      <c r="J500" s="1">
        <v>35389</v>
      </c>
      <c r="K500" t="s">
        <v>24</v>
      </c>
      <c r="L500" t="s">
        <v>730</v>
      </c>
      <c r="M500">
        <v>2019</v>
      </c>
      <c r="N500" t="str">
        <f t="shared" si="30"/>
        <v>Undrafted</v>
      </c>
    </row>
    <row r="501" spans="1:16" x14ac:dyDescent="0.35">
      <c r="A501" t="s">
        <v>1018</v>
      </c>
      <c r="B501" t="s">
        <v>1019</v>
      </c>
      <c r="C501" t="str">
        <f>CONCATENATE(A501, " ",B501)</f>
        <v>Franz Wagner</v>
      </c>
      <c r="D501" t="s">
        <v>13</v>
      </c>
      <c r="E501" s="2">
        <v>45087</v>
      </c>
      <c r="F501" s="3">
        <f t="shared" si="28"/>
        <v>6</v>
      </c>
      <c r="G501" s="3">
        <f t="shared" si="31"/>
        <v>10</v>
      </c>
      <c r="H501" s="2" t="str">
        <f t="shared" si="29"/>
        <v>6' 10"</v>
      </c>
      <c r="I501">
        <v>220</v>
      </c>
      <c r="J501" s="1">
        <v>37130</v>
      </c>
      <c r="K501" t="s">
        <v>507</v>
      </c>
      <c r="L501" t="s">
        <v>337</v>
      </c>
      <c r="M501">
        <v>2021</v>
      </c>
      <c r="N501" t="str">
        <f t="shared" si="30"/>
        <v>Drafted</v>
      </c>
      <c r="O501">
        <v>1</v>
      </c>
      <c r="P501">
        <v>8</v>
      </c>
    </row>
    <row r="502" spans="1:16" x14ac:dyDescent="0.35">
      <c r="A502" t="s">
        <v>1020</v>
      </c>
      <c r="B502" t="s">
        <v>1019</v>
      </c>
      <c r="C502" t="str">
        <f>CONCATENATE(A502, " ",B502)</f>
        <v>Moritz Wagner</v>
      </c>
      <c r="D502" t="s">
        <v>32</v>
      </c>
      <c r="E502" s="2">
        <v>45088</v>
      </c>
      <c r="F502" s="3">
        <f t="shared" si="28"/>
        <v>6</v>
      </c>
      <c r="G502" s="3">
        <f t="shared" si="31"/>
        <v>11</v>
      </c>
      <c r="H502" s="2" t="str">
        <f t="shared" si="29"/>
        <v>6' 11"</v>
      </c>
      <c r="I502">
        <v>245</v>
      </c>
      <c r="J502" s="1">
        <v>35546</v>
      </c>
      <c r="K502" t="s">
        <v>507</v>
      </c>
      <c r="L502" t="s">
        <v>337</v>
      </c>
      <c r="M502">
        <v>2018</v>
      </c>
      <c r="N502" t="str">
        <f t="shared" si="30"/>
        <v>Drafted</v>
      </c>
      <c r="O502">
        <v>1</v>
      </c>
      <c r="P502">
        <v>25</v>
      </c>
    </row>
    <row r="503" spans="1:16" x14ac:dyDescent="0.35">
      <c r="A503" t="s">
        <v>951</v>
      </c>
      <c r="B503" t="s">
        <v>1021</v>
      </c>
      <c r="C503" t="str">
        <f>CONCATENATE(A503, " ",B503)</f>
        <v>Ish Wainright</v>
      </c>
      <c r="D503" t="s">
        <v>13</v>
      </c>
      <c r="E503" s="2">
        <v>45082</v>
      </c>
      <c r="F503" s="3">
        <f t="shared" si="28"/>
        <v>6</v>
      </c>
      <c r="G503" s="3">
        <f t="shared" si="31"/>
        <v>5</v>
      </c>
      <c r="H503" s="2" t="str">
        <f t="shared" si="29"/>
        <v>6' 5"</v>
      </c>
      <c r="I503">
        <v>250</v>
      </c>
      <c r="J503" s="1">
        <v>34589</v>
      </c>
      <c r="K503" t="s">
        <v>24</v>
      </c>
      <c r="L503" t="s">
        <v>206</v>
      </c>
      <c r="M503">
        <v>2021</v>
      </c>
      <c r="N503" t="str">
        <f t="shared" si="30"/>
        <v>Undrafted</v>
      </c>
    </row>
    <row r="504" spans="1:16" x14ac:dyDescent="0.35">
      <c r="A504" t="s">
        <v>953</v>
      </c>
      <c r="B504" t="s">
        <v>606</v>
      </c>
      <c r="C504" t="str">
        <f>CONCATENATE(A504, " ",B504)</f>
        <v>Jabari Walker</v>
      </c>
      <c r="D504" t="s">
        <v>13</v>
      </c>
      <c r="E504" s="2">
        <v>45084</v>
      </c>
      <c r="F504" s="3">
        <f t="shared" si="28"/>
        <v>6</v>
      </c>
      <c r="G504" s="3">
        <f t="shared" si="31"/>
        <v>7</v>
      </c>
      <c r="H504" s="2" t="str">
        <f t="shared" si="29"/>
        <v>6' 7"</v>
      </c>
      <c r="I504">
        <v>200</v>
      </c>
      <c r="J504" s="1">
        <v>37467</v>
      </c>
      <c r="K504" t="s">
        <v>24</v>
      </c>
      <c r="L504" t="s">
        <v>222</v>
      </c>
      <c r="M504">
        <v>2022</v>
      </c>
      <c r="N504" t="str">
        <f t="shared" si="30"/>
        <v>Drafted</v>
      </c>
      <c r="O504">
        <v>2</v>
      </c>
      <c r="P504">
        <v>57</v>
      </c>
    </row>
    <row r="505" spans="1:16" x14ac:dyDescent="0.35">
      <c r="A505" t="s">
        <v>1022</v>
      </c>
      <c r="B505" t="s">
        <v>606</v>
      </c>
      <c r="C505" t="str">
        <f>CONCATENATE(A505, " ",B505)</f>
        <v>Kemba Walker</v>
      </c>
      <c r="D505" t="s">
        <v>28</v>
      </c>
      <c r="E505" s="2">
        <v>36678</v>
      </c>
      <c r="F505" s="3">
        <f t="shared" si="28"/>
        <v>6</v>
      </c>
      <c r="G505" s="3">
        <f t="shared" si="31"/>
        <v>1</v>
      </c>
      <c r="H505" s="2" t="str">
        <f t="shared" si="29"/>
        <v>6' 1"</v>
      </c>
      <c r="I505">
        <v>184</v>
      </c>
      <c r="J505" s="1">
        <v>33001</v>
      </c>
      <c r="K505" t="s">
        <v>24</v>
      </c>
      <c r="L505" t="s">
        <v>179</v>
      </c>
      <c r="M505">
        <v>2011</v>
      </c>
      <c r="N505" t="str">
        <f t="shared" si="30"/>
        <v>Drafted</v>
      </c>
      <c r="O505">
        <v>1</v>
      </c>
      <c r="P505">
        <v>9</v>
      </c>
    </row>
    <row r="506" spans="1:16" x14ac:dyDescent="0.35">
      <c r="A506" t="s">
        <v>1023</v>
      </c>
      <c r="B506" t="s">
        <v>1024</v>
      </c>
      <c r="C506" t="str">
        <f>CONCATENATE(A506, " ",B506)</f>
        <v>Lonnie Walker IV</v>
      </c>
      <c r="D506" t="s">
        <v>122</v>
      </c>
      <c r="E506" s="2">
        <v>45081</v>
      </c>
      <c r="F506" s="3">
        <f t="shared" si="28"/>
        <v>6</v>
      </c>
      <c r="G506" s="3">
        <f t="shared" si="31"/>
        <v>4</v>
      </c>
      <c r="H506" s="2" t="str">
        <f t="shared" si="29"/>
        <v>6' 4"</v>
      </c>
      <c r="I506">
        <v>204</v>
      </c>
      <c r="J506" s="1">
        <v>36143</v>
      </c>
      <c r="K506" t="s">
        <v>24</v>
      </c>
      <c r="L506" t="s">
        <v>202</v>
      </c>
      <c r="M506">
        <v>2018</v>
      </c>
      <c r="N506" t="str">
        <f t="shared" si="30"/>
        <v>Drafted</v>
      </c>
      <c r="O506">
        <v>1</v>
      </c>
      <c r="P506">
        <v>18</v>
      </c>
    </row>
    <row r="507" spans="1:16" x14ac:dyDescent="0.35">
      <c r="A507" t="s">
        <v>230</v>
      </c>
      <c r="B507" t="s">
        <v>1025</v>
      </c>
      <c r="C507" t="str">
        <f>CONCATENATE(A507, " ",B507)</f>
        <v>John Wall</v>
      </c>
      <c r="D507" t="s">
        <v>28</v>
      </c>
      <c r="E507" s="2">
        <v>45080</v>
      </c>
      <c r="F507" s="3">
        <f t="shared" si="28"/>
        <v>6</v>
      </c>
      <c r="G507" s="3">
        <f t="shared" si="31"/>
        <v>3</v>
      </c>
      <c r="H507" s="2" t="str">
        <f t="shared" si="29"/>
        <v>6' 3"</v>
      </c>
      <c r="I507">
        <v>210</v>
      </c>
      <c r="J507" s="1">
        <v>33122</v>
      </c>
      <c r="K507" t="s">
        <v>24</v>
      </c>
      <c r="L507" t="s">
        <v>25</v>
      </c>
      <c r="M507">
        <v>2010</v>
      </c>
      <c r="N507" t="str">
        <f t="shared" si="30"/>
        <v>Drafted</v>
      </c>
      <c r="O507">
        <v>1</v>
      </c>
      <c r="P507">
        <v>1</v>
      </c>
    </row>
    <row r="508" spans="1:16" x14ac:dyDescent="0.35">
      <c r="A508" t="s">
        <v>718</v>
      </c>
      <c r="B508" t="s">
        <v>1026</v>
      </c>
      <c r="C508" t="str">
        <f>CONCATENATE(A508, " ",B508)</f>
        <v>T.J. Warren</v>
      </c>
      <c r="D508" t="s">
        <v>13</v>
      </c>
      <c r="E508" s="2">
        <v>45085</v>
      </c>
      <c r="F508" s="3">
        <f t="shared" si="28"/>
        <v>6</v>
      </c>
      <c r="G508" s="3">
        <f t="shared" si="31"/>
        <v>8</v>
      </c>
      <c r="H508" s="2" t="str">
        <f t="shared" si="29"/>
        <v>6' 8"</v>
      </c>
      <c r="I508">
        <v>220</v>
      </c>
      <c r="J508" s="1">
        <v>34217</v>
      </c>
      <c r="K508" t="s">
        <v>24</v>
      </c>
      <c r="L508" t="s">
        <v>921</v>
      </c>
      <c r="M508">
        <v>2014</v>
      </c>
      <c r="N508" t="str">
        <f t="shared" si="30"/>
        <v>Drafted</v>
      </c>
      <c r="O508">
        <v>1</v>
      </c>
      <c r="P508">
        <v>14</v>
      </c>
    </row>
    <row r="509" spans="1:16" x14ac:dyDescent="0.35">
      <c r="A509" t="s">
        <v>998</v>
      </c>
      <c r="B509" t="s">
        <v>422</v>
      </c>
      <c r="C509" t="str">
        <f>CONCATENATE(A509, " ",B509)</f>
        <v>P.J. Washington</v>
      </c>
      <c r="D509" t="s">
        <v>13</v>
      </c>
      <c r="E509" s="2">
        <v>45084</v>
      </c>
      <c r="F509" s="3">
        <f t="shared" si="28"/>
        <v>6</v>
      </c>
      <c r="G509" s="3">
        <f t="shared" si="31"/>
        <v>7</v>
      </c>
      <c r="H509" s="2" t="str">
        <f t="shared" si="29"/>
        <v>6' 7"</v>
      </c>
      <c r="I509">
        <v>230</v>
      </c>
      <c r="J509" s="1">
        <v>36030</v>
      </c>
      <c r="K509" t="s">
        <v>24</v>
      </c>
      <c r="L509" t="s">
        <v>25</v>
      </c>
      <c r="M509">
        <v>2019</v>
      </c>
      <c r="N509" t="str">
        <f t="shared" si="30"/>
        <v>Drafted</v>
      </c>
      <c r="O509">
        <v>1</v>
      </c>
      <c r="P509">
        <v>12</v>
      </c>
    </row>
    <row r="510" spans="1:16" x14ac:dyDescent="0.35">
      <c r="A510" t="s">
        <v>1027</v>
      </c>
      <c r="B510" t="s">
        <v>1028</v>
      </c>
      <c r="C510" t="str">
        <f>CONCATENATE(A510, " ",B510)</f>
        <v>Duane Washington Jr.</v>
      </c>
      <c r="D510" t="s">
        <v>28</v>
      </c>
      <c r="E510" s="2">
        <v>45079</v>
      </c>
      <c r="F510" s="3">
        <f t="shared" si="28"/>
        <v>6</v>
      </c>
      <c r="G510" s="3">
        <f t="shared" si="31"/>
        <v>2</v>
      </c>
      <c r="H510" s="2" t="str">
        <f t="shared" si="29"/>
        <v>6' 2"</v>
      </c>
      <c r="I510">
        <v>197</v>
      </c>
      <c r="J510" s="1">
        <v>36609</v>
      </c>
      <c r="K510" t="s">
        <v>507</v>
      </c>
      <c r="L510" t="s">
        <v>119</v>
      </c>
      <c r="M510">
        <v>2021</v>
      </c>
      <c r="N510" t="str">
        <f t="shared" si="30"/>
        <v>Undrafted</v>
      </c>
    </row>
    <row r="511" spans="1:16" x14ac:dyDescent="0.35">
      <c r="A511" t="s">
        <v>1029</v>
      </c>
      <c r="B511" t="s">
        <v>1028</v>
      </c>
      <c r="C511" t="str">
        <f>CONCATENATE(A511, " ",B511)</f>
        <v>TyTy Washington Jr.</v>
      </c>
      <c r="D511" t="s">
        <v>28</v>
      </c>
      <c r="E511" s="2">
        <v>45080</v>
      </c>
      <c r="F511" s="3">
        <f t="shared" si="28"/>
        <v>6</v>
      </c>
      <c r="G511" s="3">
        <f t="shared" si="31"/>
        <v>3</v>
      </c>
      <c r="H511" s="2" t="str">
        <f t="shared" si="29"/>
        <v>6' 3"</v>
      </c>
      <c r="I511">
        <v>195</v>
      </c>
      <c r="J511" s="1">
        <v>37210</v>
      </c>
      <c r="K511" t="s">
        <v>24</v>
      </c>
      <c r="L511" t="s">
        <v>25</v>
      </c>
      <c r="M511">
        <v>2022</v>
      </c>
      <c r="N511" t="str">
        <f t="shared" si="30"/>
        <v>Drafted</v>
      </c>
      <c r="O511">
        <v>1</v>
      </c>
      <c r="P511">
        <v>29</v>
      </c>
    </row>
    <row r="512" spans="1:16" x14ac:dyDescent="0.35">
      <c r="A512" t="s">
        <v>1030</v>
      </c>
      <c r="B512" t="s">
        <v>1031</v>
      </c>
      <c r="C512" t="str">
        <f>CONCATENATE(A512, " ",B512)</f>
        <v>Yuta Watanabe</v>
      </c>
      <c r="D512" t="s">
        <v>122</v>
      </c>
      <c r="E512" s="2">
        <v>45085</v>
      </c>
      <c r="F512" s="3">
        <f t="shared" si="28"/>
        <v>6</v>
      </c>
      <c r="G512" s="3">
        <f t="shared" si="31"/>
        <v>8</v>
      </c>
      <c r="H512" s="2" t="str">
        <f t="shared" si="29"/>
        <v>6' 8"</v>
      </c>
      <c r="I512">
        <v>215</v>
      </c>
      <c r="J512" s="1">
        <v>34620</v>
      </c>
      <c r="K512" t="s">
        <v>479</v>
      </c>
      <c r="L512" t="s">
        <v>1032</v>
      </c>
      <c r="M512">
        <v>2018</v>
      </c>
      <c r="N512" t="str">
        <f t="shared" si="30"/>
        <v>Undrafted</v>
      </c>
    </row>
    <row r="513" spans="1:16" x14ac:dyDescent="0.35">
      <c r="A513" t="s">
        <v>1033</v>
      </c>
      <c r="B513" t="s">
        <v>1034</v>
      </c>
      <c r="C513" t="str">
        <f>CONCATENATE(A513, " ",B513)</f>
        <v>Lindy Waters III</v>
      </c>
      <c r="D513" t="s">
        <v>13</v>
      </c>
      <c r="E513" s="2">
        <v>45083</v>
      </c>
      <c r="F513" s="3">
        <f t="shared" si="28"/>
        <v>6</v>
      </c>
      <c r="G513" s="3">
        <f t="shared" si="31"/>
        <v>6</v>
      </c>
      <c r="H513" s="2" t="str">
        <f t="shared" si="29"/>
        <v>6' 6"</v>
      </c>
      <c r="I513">
        <v>210</v>
      </c>
      <c r="J513" s="1">
        <v>35639</v>
      </c>
      <c r="K513" t="s">
        <v>24</v>
      </c>
      <c r="L513" t="s">
        <v>310</v>
      </c>
      <c r="M513">
        <v>2021</v>
      </c>
      <c r="N513" t="str">
        <f t="shared" si="30"/>
        <v>Undrafted</v>
      </c>
    </row>
    <row r="514" spans="1:16" x14ac:dyDescent="0.35">
      <c r="A514" t="s">
        <v>1035</v>
      </c>
      <c r="B514" t="s">
        <v>1036</v>
      </c>
      <c r="C514" t="str">
        <f>CONCATENATE(A514, " ",B514)</f>
        <v>Trendon Watford</v>
      </c>
      <c r="D514" t="s">
        <v>13</v>
      </c>
      <c r="E514" s="2">
        <v>45085</v>
      </c>
      <c r="F514" s="3">
        <f t="shared" si="28"/>
        <v>6</v>
      </c>
      <c r="G514" s="3">
        <f t="shared" si="31"/>
        <v>8</v>
      </c>
      <c r="H514" s="2" t="str">
        <f t="shared" si="29"/>
        <v>6' 8"</v>
      </c>
      <c r="I514">
        <v>237</v>
      </c>
      <c r="J514" s="1">
        <v>36839</v>
      </c>
      <c r="K514" t="s">
        <v>24</v>
      </c>
      <c r="L514" t="s">
        <v>325</v>
      </c>
      <c r="M514">
        <v>2021</v>
      </c>
      <c r="N514" t="str">
        <f t="shared" si="30"/>
        <v>Undrafted</v>
      </c>
    </row>
    <row r="515" spans="1:16" x14ac:dyDescent="0.35">
      <c r="A515" t="s">
        <v>1037</v>
      </c>
      <c r="B515" t="s">
        <v>1038</v>
      </c>
      <c r="C515" t="str">
        <f>CONCATENATE(A515, " ",B515)</f>
        <v>Peyton Watson</v>
      </c>
      <c r="D515" t="s">
        <v>28</v>
      </c>
      <c r="E515" s="2">
        <v>45084</v>
      </c>
      <c r="F515" s="3">
        <f t="shared" ref="F515:F549" si="32">MONTH(E515)</f>
        <v>6</v>
      </c>
      <c r="G515" s="3">
        <f t="shared" si="31"/>
        <v>7</v>
      </c>
      <c r="H515" s="2" t="str">
        <f t="shared" ref="H515:H549" si="33">CONCATENATE(F515,"' ",G515,"""")</f>
        <v>6' 7"</v>
      </c>
      <c r="I515">
        <v>200</v>
      </c>
      <c r="J515" s="1">
        <v>37510</v>
      </c>
      <c r="K515" t="s">
        <v>24</v>
      </c>
      <c r="L515" t="s">
        <v>50</v>
      </c>
      <c r="M515">
        <v>2022</v>
      </c>
      <c r="N515" t="str">
        <f t="shared" ref="N515:N549" si="34">IF(O515 &gt; 0,"Drafted","Undrafted")</f>
        <v>Drafted</v>
      </c>
      <c r="O515">
        <v>1</v>
      </c>
      <c r="P515">
        <v>30</v>
      </c>
    </row>
    <row r="516" spans="1:16" x14ac:dyDescent="0.35">
      <c r="A516" t="s">
        <v>472</v>
      </c>
      <c r="B516" t="s">
        <v>706</v>
      </c>
      <c r="C516" t="str">
        <f>CONCATENATE(A516, " ",B516)</f>
        <v>Blake Wesley</v>
      </c>
      <c r="D516" t="s">
        <v>28</v>
      </c>
      <c r="E516" s="2">
        <v>45081</v>
      </c>
      <c r="F516" s="3">
        <f t="shared" si="32"/>
        <v>6</v>
      </c>
      <c r="G516" s="3">
        <f t="shared" ref="G516:G549" si="35">DAY(E516)</f>
        <v>4</v>
      </c>
      <c r="H516" s="2" t="str">
        <f t="shared" si="33"/>
        <v>6' 4"</v>
      </c>
      <c r="I516">
        <v>185</v>
      </c>
      <c r="J516" s="1">
        <v>37696</v>
      </c>
      <c r="K516" t="s">
        <v>24</v>
      </c>
      <c r="L516" t="s">
        <v>293</v>
      </c>
      <c r="M516">
        <v>2022</v>
      </c>
      <c r="N516" t="str">
        <f t="shared" si="34"/>
        <v>Drafted</v>
      </c>
      <c r="O516">
        <v>1</v>
      </c>
      <c r="P516">
        <v>25</v>
      </c>
    </row>
    <row r="517" spans="1:16" x14ac:dyDescent="0.35">
      <c r="A517" t="s">
        <v>900</v>
      </c>
      <c r="B517" t="s">
        <v>1039</v>
      </c>
      <c r="C517" t="str">
        <f>CONCATENATE(A517, " ",B517)</f>
        <v>Russell Westbrook</v>
      </c>
      <c r="D517" t="s">
        <v>28</v>
      </c>
      <c r="E517" s="2">
        <v>45080</v>
      </c>
      <c r="F517" s="3">
        <f t="shared" si="32"/>
        <v>6</v>
      </c>
      <c r="G517" s="3">
        <f t="shared" si="35"/>
        <v>3</v>
      </c>
      <c r="H517" s="2" t="str">
        <f t="shared" si="33"/>
        <v>6' 3"</v>
      </c>
      <c r="I517">
        <v>200</v>
      </c>
      <c r="J517" s="1">
        <v>32459</v>
      </c>
      <c r="K517" t="s">
        <v>24</v>
      </c>
      <c r="L517" t="s">
        <v>50</v>
      </c>
      <c r="M517">
        <v>2008</v>
      </c>
      <c r="N517" t="str">
        <f t="shared" si="34"/>
        <v>Drafted</v>
      </c>
      <c r="O517">
        <v>1</v>
      </c>
      <c r="P517">
        <v>4</v>
      </c>
    </row>
    <row r="518" spans="1:16" x14ac:dyDescent="0.35">
      <c r="A518" t="s">
        <v>1040</v>
      </c>
      <c r="B518" t="s">
        <v>1041</v>
      </c>
      <c r="C518" t="str">
        <f>CONCATENATE(A518, " ",B518)</f>
        <v>Coby White</v>
      </c>
      <c r="D518" t="s">
        <v>28</v>
      </c>
      <c r="E518" s="2">
        <v>45082</v>
      </c>
      <c r="F518" s="3">
        <f t="shared" si="32"/>
        <v>6</v>
      </c>
      <c r="G518" s="3">
        <f t="shared" si="35"/>
        <v>5</v>
      </c>
      <c r="H518" s="2" t="str">
        <f t="shared" si="33"/>
        <v>6' 5"</v>
      </c>
      <c r="I518">
        <v>195</v>
      </c>
      <c r="J518" s="1">
        <v>36572</v>
      </c>
      <c r="K518" t="s">
        <v>24</v>
      </c>
      <c r="L518" t="s">
        <v>61</v>
      </c>
      <c r="M518">
        <v>2019</v>
      </c>
      <c r="N518" t="str">
        <f t="shared" si="34"/>
        <v>Drafted</v>
      </c>
      <c r="O518">
        <v>1</v>
      </c>
      <c r="P518">
        <v>7</v>
      </c>
    </row>
    <row r="519" spans="1:16" x14ac:dyDescent="0.35">
      <c r="A519" t="s">
        <v>396</v>
      </c>
      <c r="B519" t="s">
        <v>1041</v>
      </c>
      <c r="C519" t="str">
        <f>CONCATENATE(A519, " ",B519)</f>
        <v>Derrick White</v>
      </c>
      <c r="D519" t="s">
        <v>28</v>
      </c>
      <c r="E519" s="2">
        <v>45081</v>
      </c>
      <c r="F519" s="3">
        <f t="shared" si="32"/>
        <v>6</v>
      </c>
      <c r="G519" s="3">
        <f t="shared" si="35"/>
        <v>4</v>
      </c>
      <c r="H519" s="2" t="str">
        <f t="shared" si="33"/>
        <v>6' 4"</v>
      </c>
      <c r="I519">
        <v>190</v>
      </c>
      <c r="J519" s="1">
        <v>34517</v>
      </c>
      <c r="K519" t="s">
        <v>24</v>
      </c>
      <c r="L519" t="s">
        <v>222</v>
      </c>
      <c r="M519">
        <v>2017</v>
      </c>
      <c r="N519" t="str">
        <f t="shared" si="34"/>
        <v>Drafted</v>
      </c>
      <c r="O519">
        <v>1</v>
      </c>
      <c r="P519">
        <v>29</v>
      </c>
    </row>
    <row r="520" spans="1:16" x14ac:dyDescent="0.35">
      <c r="A520" t="s">
        <v>1042</v>
      </c>
      <c r="B520" t="s">
        <v>1041</v>
      </c>
      <c r="C520" t="str">
        <f>CONCATENATE(A520, " ",B520)</f>
        <v>Jack White</v>
      </c>
      <c r="D520" t="s">
        <v>13</v>
      </c>
      <c r="E520" s="2">
        <v>45084</v>
      </c>
      <c r="F520" s="3">
        <f t="shared" si="32"/>
        <v>6</v>
      </c>
      <c r="G520" s="3">
        <f t="shared" si="35"/>
        <v>7</v>
      </c>
      <c r="H520" s="2" t="str">
        <f t="shared" si="33"/>
        <v>6' 7"</v>
      </c>
      <c r="I520">
        <v>225</v>
      </c>
      <c r="J520" s="1">
        <v>35647</v>
      </c>
      <c r="K520" t="s">
        <v>296</v>
      </c>
      <c r="L520" t="s">
        <v>41</v>
      </c>
      <c r="M520">
        <v>2022</v>
      </c>
      <c r="N520" t="str">
        <f t="shared" si="34"/>
        <v>Undrafted</v>
      </c>
    </row>
    <row r="521" spans="1:16" x14ac:dyDescent="0.35">
      <c r="A521" t="s">
        <v>498</v>
      </c>
      <c r="B521" t="s">
        <v>1043</v>
      </c>
      <c r="C521" t="str">
        <f>CONCATENATE(A521, " ",B521)</f>
        <v>Joe Wieskamp</v>
      </c>
      <c r="D521" t="s">
        <v>122</v>
      </c>
      <c r="E521" s="2">
        <v>45083</v>
      </c>
      <c r="F521" s="3">
        <f t="shared" si="32"/>
        <v>6</v>
      </c>
      <c r="G521" s="3">
        <f t="shared" si="35"/>
        <v>6</v>
      </c>
      <c r="H521" s="2" t="str">
        <f t="shared" si="33"/>
        <v>6' 6"</v>
      </c>
      <c r="I521">
        <v>205</v>
      </c>
      <c r="J521" s="1">
        <v>36395</v>
      </c>
      <c r="K521" t="s">
        <v>24</v>
      </c>
      <c r="L521" t="s">
        <v>433</v>
      </c>
      <c r="M521">
        <v>2021</v>
      </c>
      <c r="N521" t="str">
        <f t="shared" si="34"/>
        <v>Drafted</v>
      </c>
      <c r="O521">
        <v>2</v>
      </c>
      <c r="P521">
        <v>41</v>
      </c>
    </row>
    <row r="522" spans="1:16" x14ac:dyDescent="0.35">
      <c r="A522" t="s">
        <v>453</v>
      </c>
      <c r="B522" t="s">
        <v>1044</v>
      </c>
      <c r="C522" t="str">
        <f>CONCATENATE(A522, " ",B522)</f>
        <v>Aaron Wiggins</v>
      </c>
      <c r="D522" t="s">
        <v>28</v>
      </c>
      <c r="E522" s="2">
        <v>45082</v>
      </c>
      <c r="F522" s="3">
        <f t="shared" si="32"/>
        <v>6</v>
      </c>
      <c r="G522" s="3">
        <f t="shared" si="35"/>
        <v>5</v>
      </c>
      <c r="H522" s="2" t="str">
        <f t="shared" si="33"/>
        <v>6' 5"</v>
      </c>
      <c r="I522">
        <v>190</v>
      </c>
      <c r="J522" s="1">
        <v>36162</v>
      </c>
      <c r="K522" t="s">
        <v>24</v>
      </c>
      <c r="L522" t="s">
        <v>401</v>
      </c>
      <c r="M522">
        <v>2021</v>
      </c>
      <c r="N522" t="str">
        <f t="shared" si="34"/>
        <v>Drafted</v>
      </c>
      <c r="O522">
        <v>2</v>
      </c>
      <c r="P522">
        <v>55</v>
      </c>
    </row>
    <row r="523" spans="1:16" x14ac:dyDescent="0.35">
      <c r="A523" t="s">
        <v>777</v>
      </c>
      <c r="B523" t="s">
        <v>1044</v>
      </c>
      <c r="C523" t="str">
        <f>CONCATENATE(A523, " ",B523)</f>
        <v>Andrew Wiggins</v>
      </c>
      <c r="D523" t="s">
        <v>13</v>
      </c>
      <c r="E523" s="2">
        <v>45084</v>
      </c>
      <c r="F523" s="3">
        <f t="shared" si="32"/>
        <v>6</v>
      </c>
      <c r="G523" s="3">
        <f t="shared" si="35"/>
        <v>7</v>
      </c>
      <c r="H523" s="2" t="str">
        <f t="shared" si="33"/>
        <v>6' 7"</v>
      </c>
      <c r="I523">
        <v>197</v>
      </c>
      <c r="J523" s="1">
        <v>34753</v>
      </c>
      <c r="K523" t="s">
        <v>37</v>
      </c>
      <c r="L523" t="s">
        <v>29</v>
      </c>
      <c r="M523">
        <v>2014</v>
      </c>
      <c r="N523" t="str">
        <f t="shared" si="34"/>
        <v>Drafted</v>
      </c>
      <c r="O523">
        <v>1</v>
      </c>
      <c r="P523">
        <v>1</v>
      </c>
    </row>
    <row r="524" spans="1:16" x14ac:dyDescent="0.35">
      <c r="A524" t="s">
        <v>1045</v>
      </c>
      <c r="B524" t="s">
        <v>1046</v>
      </c>
      <c r="C524" t="str">
        <f>CONCATENATE(A524, " ",B524)</f>
        <v>Lindell Wigginton</v>
      </c>
      <c r="D524" t="s">
        <v>28</v>
      </c>
      <c r="E524" s="2">
        <v>45078</v>
      </c>
      <c r="F524" s="3">
        <f t="shared" si="32"/>
        <v>6</v>
      </c>
      <c r="G524" s="3">
        <f t="shared" si="35"/>
        <v>1</v>
      </c>
      <c r="H524" s="2" t="str">
        <f t="shared" si="33"/>
        <v>6' 1"</v>
      </c>
      <c r="I524">
        <v>189</v>
      </c>
      <c r="J524" s="1">
        <v>35882</v>
      </c>
      <c r="K524" t="s">
        <v>37</v>
      </c>
      <c r="L524" t="s">
        <v>225</v>
      </c>
      <c r="M524">
        <v>2019</v>
      </c>
      <c r="N524" t="str">
        <f t="shared" si="34"/>
        <v>Undrafted</v>
      </c>
    </row>
    <row r="525" spans="1:16" x14ac:dyDescent="0.35">
      <c r="A525" t="s">
        <v>1047</v>
      </c>
      <c r="B525" t="s">
        <v>1048</v>
      </c>
      <c r="C525" t="str">
        <f>CONCATENATE(A525, " ",B525)</f>
        <v>Alondes Williams</v>
      </c>
      <c r="D525" t="s">
        <v>28</v>
      </c>
      <c r="E525" s="2">
        <v>45081</v>
      </c>
      <c r="F525" s="3">
        <f t="shared" si="32"/>
        <v>6</v>
      </c>
      <c r="G525" s="3">
        <f t="shared" si="35"/>
        <v>4</v>
      </c>
      <c r="H525" s="2" t="str">
        <f t="shared" si="33"/>
        <v>6' 4"</v>
      </c>
      <c r="I525">
        <v>210</v>
      </c>
      <c r="J525" s="1">
        <v>36330</v>
      </c>
      <c r="K525" t="s">
        <v>24</v>
      </c>
      <c r="L525" t="s">
        <v>285</v>
      </c>
      <c r="M525">
        <v>2022</v>
      </c>
      <c r="N525" t="str">
        <f t="shared" si="34"/>
        <v>Undrafted</v>
      </c>
    </row>
    <row r="526" spans="1:16" x14ac:dyDescent="0.35">
      <c r="A526" t="s">
        <v>748</v>
      </c>
      <c r="B526" t="s">
        <v>1048</v>
      </c>
      <c r="C526" t="str">
        <f>CONCATENATE(A526, " ",B526)</f>
        <v>Donovan Williams</v>
      </c>
      <c r="D526" t="s">
        <v>28</v>
      </c>
      <c r="E526" s="2">
        <v>45083</v>
      </c>
      <c r="F526" s="3">
        <f t="shared" si="32"/>
        <v>6</v>
      </c>
      <c r="G526" s="3">
        <f t="shared" si="35"/>
        <v>6</v>
      </c>
      <c r="H526" s="2" t="str">
        <f t="shared" si="33"/>
        <v>6' 6"</v>
      </c>
      <c r="I526">
        <v>190</v>
      </c>
      <c r="J526" s="1">
        <v>37140</v>
      </c>
      <c r="K526" t="s">
        <v>24</v>
      </c>
      <c r="L526" t="s">
        <v>146</v>
      </c>
      <c r="M526">
        <v>2022</v>
      </c>
      <c r="N526" t="str">
        <f t="shared" si="34"/>
        <v>Undrafted</v>
      </c>
    </row>
    <row r="527" spans="1:16" x14ac:dyDescent="0.35">
      <c r="A527" t="s">
        <v>459</v>
      </c>
      <c r="B527" t="s">
        <v>1048</v>
      </c>
      <c r="C527" t="str">
        <f>CONCATENATE(A527, " ",B527)</f>
        <v>Grant Williams</v>
      </c>
      <c r="D527" t="s">
        <v>13</v>
      </c>
      <c r="E527" s="2">
        <v>45083</v>
      </c>
      <c r="F527" s="3">
        <f t="shared" si="32"/>
        <v>6</v>
      </c>
      <c r="G527" s="3">
        <f t="shared" si="35"/>
        <v>6</v>
      </c>
      <c r="H527" s="2" t="str">
        <f t="shared" si="33"/>
        <v>6' 6"</v>
      </c>
      <c r="I527">
        <v>236</v>
      </c>
      <c r="J527" s="1">
        <v>36129</v>
      </c>
      <c r="K527" t="s">
        <v>24</v>
      </c>
      <c r="L527" t="s">
        <v>267</v>
      </c>
      <c r="M527">
        <v>2019</v>
      </c>
      <c r="N527" t="str">
        <f t="shared" si="34"/>
        <v>Drafted</v>
      </c>
      <c r="O527">
        <v>1</v>
      </c>
      <c r="P527">
        <v>22</v>
      </c>
    </row>
    <row r="528" spans="1:16" x14ac:dyDescent="0.35">
      <c r="A528" t="s">
        <v>214</v>
      </c>
      <c r="B528" t="s">
        <v>1048</v>
      </c>
      <c r="C528" t="str">
        <f>CONCATENATE(A528, " ",B528)</f>
        <v>Jalen Williams</v>
      </c>
      <c r="D528" t="s">
        <v>122</v>
      </c>
      <c r="E528" s="2">
        <v>45082</v>
      </c>
      <c r="F528" s="3">
        <f t="shared" si="32"/>
        <v>6</v>
      </c>
      <c r="G528" s="3">
        <f t="shared" si="35"/>
        <v>5</v>
      </c>
      <c r="H528" s="2" t="str">
        <f t="shared" si="33"/>
        <v>6' 5"</v>
      </c>
      <c r="I528">
        <v>211</v>
      </c>
      <c r="J528" s="1">
        <v>36995</v>
      </c>
      <c r="K528" t="s">
        <v>24</v>
      </c>
      <c r="L528" t="s">
        <v>1049</v>
      </c>
      <c r="M528">
        <v>2022</v>
      </c>
      <c r="N528" t="str">
        <f t="shared" si="34"/>
        <v>Drafted</v>
      </c>
      <c r="O528">
        <v>1</v>
      </c>
      <c r="P528">
        <v>12</v>
      </c>
    </row>
    <row r="529" spans="1:16" x14ac:dyDescent="0.35">
      <c r="A529" t="s">
        <v>1050</v>
      </c>
      <c r="B529" t="s">
        <v>1048</v>
      </c>
      <c r="C529" t="str">
        <f>CONCATENATE(A529, " ",B529)</f>
        <v>Jaylin Williams</v>
      </c>
      <c r="D529" t="s">
        <v>13</v>
      </c>
      <c r="E529" s="2">
        <v>45086</v>
      </c>
      <c r="F529" s="3">
        <f t="shared" si="32"/>
        <v>6</v>
      </c>
      <c r="G529" s="3">
        <f t="shared" si="35"/>
        <v>9</v>
      </c>
      <c r="H529" s="2" t="str">
        <f t="shared" si="33"/>
        <v>6' 9"</v>
      </c>
      <c r="I529">
        <v>240</v>
      </c>
      <c r="J529" s="1">
        <v>37436</v>
      </c>
      <c r="K529" t="s">
        <v>24</v>
      </c>
      <c r="L529" t="s">
        <v>141</v>
      </c>
      <c r="M529">
        <v>2022</v>
      </c>
      <c r="N529" t="str">
        <f t="shared" si="34"/>
        <v>Drafted</v>
      </c>
      <c r="O529">
        <v>2</v>
      </c>
      <c r="P529">
        <v>34</v>
      </c>
    </row>
    <row r="530" spans="1:16" x14ac:dyDescent="0.35">
      <c r="A530" t="s">
        <v>1051</v>
      </c>
      <c r="B530" t="s">
        <v>1048</v>
      </c>
      <c r="C530" t="str">
        <f>CONCATENATE(A530, " ",B530)</f>
        <v>Jeenathan Williams</v>
      </c>
      <c r="D530" t="s">
        <v>28</v>
      </c>
      <c r="E530" s="2">
        <v>45082</v>
      </c>
      <c r="F530" s="3">
        <f t="shared" si="32"/>
        <v>6</v>
      </c>
      <c r="G530" s="3">
        <f t="shared" si="35"/>
        <v>5</v>
      </c>
      <c r="H530" s="2" t="str">
        <f t="shared" si="33"/>
        <v>6' 5"</v>
      </c>
      <c r="I530">
        <v>205</v>
      </c>
      <c r="J530" s="1">
        <v>36203</v>
      </c>
      <c r="K530" t="s">
        <v>24</v>
      </c>
      <c r="L530" t="s">
        <v>1052</v>
      </c>
      <c r="M530">
        <v>2022</v>
      </c>
      <c r="N530" t="str">
        <f t="shared" si="34"/>
        <v>Undrafted</v>
      </c>
    </row>
    <row r="531" spans="1:16" x14ac:dyDescent="0.35">
      <c r="A531" t="s">
        <v>1053</v>
      </c>
      <c r="B531" t="s">
        <v>1048</v>
      </c>
      <c r="C531" t="str">
        <f>CONCATENATE(A531, " ",B531)</f>
        <v>Kenrich Williams</v>
      </c>
      <c r="D531" t="s">
        <v>122</v>
      </c>
      <c r="E531" s="2">
        <v>45083</v>
      </c>
      <c r="F531" s="3">
        <f t="shared" si="32"/>
        <v>6</v>
      </c>
      <c r="G531" s="3">
        <f t="shared" si="35"/>
        <v>6</v>
      </c>
      <c r="H531" s="2" t="str">
        <f t="shared" si="33"/>
        <v>6' 6"</v>
      </c>
      <c r="I531">
        <v>210</v>
      </c>
      <c r="J531" s="1">
        <v>34670</v>
      </c>
      <c r="K531" t="s">
        <v>24</v>
      </c>
      <c r="L531" t="s">
        <v>100</v>
      </c>
      <c r="M531">
        <v>2018</v>
      </c>
      <c r="N531" t="str">
        <f t="shared" si="34"/>
        <v>Undrafted</v>
      </c>
    </row>
    <row r="532" spans="1:16" x14ac:dyDescent="0.35">
      <c r="A532" t="s">
        <v>1054</v>
      </c>
      <c r="B532" t="s">
        <v>1048</v>
      </c>
      <c r="C532" t="str">
        <f>CONCATENATE(A532, " ",B532)</f>
        <v>Mark Williams</v>
      </c>
      <c r="D532" t="s">
        <v>18</v>
      </c>
      <c r="E532" s="2">
        <v>36708</v>
      </c>
      <c r="F532" s="3">
        <f t="shared" si="32"/>
        <v>7</v>
      </c>
      <c r="G532" s="3">
        <f t="shared" si="35"/>
        <v>1</v>
      </c>
      <c r="H532" s="2" t="str">
        <f t="shared" si="33"/>
        <v>7' 1"</v>
      </c>
      <c r="I532">
        <v>240</v>
      </c>
      <c r="J532" s="1">
        <v>37241</v>
      </c>
      <c r="K532" t="s">
        <v>24</v>
      </c>
      <c r="L532" t="s">
        <v>41</v>
      </c>
      <c r="M532">
        <v>2022</v>
      </c>
      <c r="N532" t="str">
        <f t="shared" si="34"/>
        <v>Drafted</v>
      </c>
      <c r="O532">
        <v>1</v>
      </c>
      <c r="P532">
        <v>15</v>
      </c>
    </row>
    <row r="533" spans="1:16" x14ac:dyDescent="0.35">
      <c r="A533" t="s">
        <v>88</v>
      </c>
      <c r="B533" t="s">
        <v>1048</v>
      </c>
      <c r="C533" t="str">
        <f>CONCATENATE(A533, " ",B533)</f>
        <v>Patrick Williams</v>
      </c>
      <c r="D533" t="s">
        <v>13</v>
      </c>
      <c r="E533" s="2">
        <v>45084</v>
      </c>
      <c r="F533" s="3">
        <f t="shared" si="32"/>
        <v>6</v>
      </c>
      <c r="G533" s="3">
        <f t="shared" si="35"/>
        <v>7</v>
      </c>
      <c r="H533" s="2" t="str">
        <f t="shared" si="33"/>
        <v>6' 7"</v>
      </c>
      <c r="I533">
        <v>215</v>
      </c>
      <c r="J533" s="1">
        <v>37129</v>
      </c>
      <c r="K533" t="s">
        <v>24</v>
      </c>
      <c r="L533" t="s">
        <v>109</v>
      </c>
      <c r="M533">
        <v>2020</v>
      </c>
      <c r="N533" t="str">
        <f t="shared" si="34"/>
        <v>Drafted</v>
      </c>
      <c r="O533">
        <v>1</v>
      </c>
      <c r="P533">
        <v>4</v>
      </c>
    </row>
    <row r="534" spans="1:16" x14ac:dyDescent="0.35">
      <c r="A534" t="s">
        <v>1055</v>
      </c>
      <c r="B534" t="s">
        <v>1048</v>
      </c>
      <c r="C534" t="str">
        <f>CONCATENATE(A534, " ",B534)</f>
        <v>Ziaire Williams</v>
      </c>
      <c r="D534" t="s">
        <v>13</v>
      </c>
      <c r="E534" s="2">
        <v>45086</v>
      </c>
      <c r="F534" s="3">
        <f t="shared" si="32"/>
        <v>6</v>
      </c>
      <c r="G534" s="3">
        <f t="shared" si="35"/>
        <v>9</v>
      </c>
      <c r="H534" s="2" t="str">
        <f t="shared" si="33"/>
        <v>6' 9"</v>
      </c>
      <c r="I534">
        <v>185</v>
      </c>
      <c r="J534" s="1">
        <v>37146</v>
      </c>
      <c r="K534" t="s">
        <v>24</v>
      </c>
      <c r="L534" t="s">
        <v>674</v>
      </c>
      <c r="M534">
        <v>2021</v>
      </c>
      <c r="N534" t="str">
        <f t="shared" si="34"/>
        <v>Drafted</v>
      </c>
      <c r="O534">
        <v>1</v>
      </c>
      <c r="P534">
        <v>10</v>
      </c>
    </row>
    <row r="535" spans="1:16" x14ac:dyDescent="0.35">
      <c r="A535" t="s">
        <v>298</v>
      </c>
      <c r="B535" t="s">
        <v>1056</v>
      </c>
      <c r="C535" t="str">
        <f>CONCATENATE(A535, " ",B535)</f>
        <v>Robert Williams III</v>
      </c>
      <c r="D535" t="s">
        <v>23</v>
      </c>
      <c r="E535" s="2">
        <v>45086</v>
      </c>
      <c r="F535" s="3">
        <f t="shared" si="32"/>
        <v>6</v>
      </c>
      <c r="G535" s="3">
        <f t="shared" si="35"/>
        <v>9</v>
      </c>
      <c r="H535" s="2" t="str">
        <f t="shared" si="33"/>
        <v>6' 9"</v>
      </c>
      <c r="I535">
        <v>237</v>
      </c>
      <c r="J535" s="1">
        <v>35720</v>
      </c>
      <c r="K535" t="s">
        <v>24</v>
      </c>
      <c r="L535" t="s">
        <v>258</v>
      </c>
      <c r="M535">
        <v>2018</v>
      </c>
      <c r="N535" t="str">
        <f t="shared" si="34"/>
        <v>Drafted</v>
      </c>
      <c r="O535">
        <v>1</v>
      </c>
      <c r="P535">
        <v>27</v>
      </c>
    </row>
    <row r="536" spans="1:16" x14ac:dyDescent="0.35">
      <c r="A536" t="s">
        <v>1057</v>
      </c>
      <c r="B536" t="s">
        <v>1058</v>
      </c>
      <c r="C536" t="str">
        <f>CONCATENATE(A536, " ",B536)</f>
        <v>Vince Williams Jr.</v>
      </c>
      <c r="D536" t="s">
        <v>28</v>
      </c>
      <c r="E536" s="2">
        <v>45081</v>
      </c>
      <c r="F536" s="3">
        <f t="shared" si="32"/>
        <v>6</v>
      </c>
      <c r="G536" s="3">
        <f t="shared" si="35"/>
        <v>4</v>
      </c>
      <c r="H536" s="2" t="str">
        <f t="shared" si="33"/>
        <v>6' 4"</v>
      </c>
      <c r="I536">
        <v>205</v>
      </c>
      <c r="J536" s="1">
        <v>36768</v>
      </c>
      <c r="K536" t="s">
        <v>24</v>
      </c>
      <c r="L536" t="s">
        <v>554</v>
      </c>
      <c r="M536">
        <v>2022</v>
      </c>
      <c r="N536" t="str">
        <f t="shared" si="34"/>
        <v>Drafted</v>
      </c>
      <c r="O536">
        <v>2</v>
      </c>
      <c r="P536">
        <v>47</v>
      </c>
    </row>
    <row r="537" spans="1:16" x14ac:dyDescent="0.35">
      <c r="A537" t="s">
        <v>1059</v>
      </c>
      <c r="B537" t="s">
        <v>1060</v>
      </c>
      <c r="C537" t="str">
        <f>CONCATENATE(A537, " ",B537)</f>
        <v>Zion Williamson</v>
      </c>
      <c r="D537" t="s">
        <v>13</v>
      </c>
      <c r="E537" s="2">
        <v>45083</v>
      </c>
      <c r="F537" s="3">
        <f t="shared" si="32"/>
        <v>6</v>
      </c>
      <c r="G537" s="3">
        <f t="shared" si="35"/>
        <v>6</v>
      </c>
      <c r="H537" s="2" t="str">
        <f t="shared" si="33"/>
        <v>6' 6"</v>
      </c>
      <c r="I537">
        <v>284</v>
      </c>
      <c r="J537" s="1">
        <v>36713</v>
      </c>
      <c r="K537" t="s">
        <v>24</v>
      </c>
      <c r="L537" t="s">
        <v>41</v>
      </c>
      <c r="M537">
        <v>2019</v>
      </c>
      <c r="N537" t="str">
        <f t="shared" si="34"/>
        <v>Drafted</v>
      </c>
      <c r="O537">
        <v>1</v>
      </c>
      <c r="P537">
        <v>1</v>
      </c>
    </row>
    <row r="538" spans="1:16" x14ac:dyDescent="0.35">
      <c r="A538" t="s">
        <v>1061</v>
      </c>
      <c r="B538" t="s">
        <v>1062</v>
      </c>
      <c r="C538" t="str">
        <f>CONCATENATE(A538, " ",B538)</f>
        <v>Dylan Windler</v>
      </c>
      <c r="D538" t="s">
        <v>122</v>
      </c>
      <c r="E538" s="2">
        <v>45084</v>
      </c>
      <c r="F538" s="3">
        <f t="shared" si="32"/>
        <v>6</v>
      </c>
      <c r="G538" s="3">
        <f t="shared" si="35"/>
        <v>7</v>
      </c>
      <c r="H538" s="2" t="str">
        <f t="shared" si="33"/>
        <v>6' 7"</v>
      </c>
      <c r="I538">
        <v>196</v>
      </c>
      <c r="J538" s="1">
        <v>35330</v>
      </c>
      <c r="K538" t="s">
        <v>24</v>
      </c>
      <c r="L538" t="s">
        <v>1063</v>
      </c>
      <c r="M538">
        <v>2019</v>
      </c>
      <c r="N538" t="str">
        <f t="shared" si="34"/>
        <v>Drafted</v>
      </c>
      <c r="O538">
        <v>1</v>
      </c>
      <c r="P538">
        <v>26</v>
      </c>
    </row>
    <row r="539" spans="1:16" x14ac:dyDescent="0.35">
      <c r="A539" t="s">
        <v>1064</v>
      </c>
      <c r="B539" t="s">
        <v>1065</v>
      </c>
      <c r="C539" t="str">
        <f>CONCATENATE(A539, " ",B539)</f>
        <v>Justise Winslow</v>
      </c>
      <c r="D539" t="s">
        <v>49</v>
      </c>
      <c r="E539" s="2">
        <v>45083</v>
      </c>
      <c r="F539" s="3">
        <f t="shared" si="32"/>
        <v>6</v>
      </c>
      <c r="G539" s="3">
        <f t="shared" si="35"/>
        <v>6</v>
      </c>
      <c r="H539" s="2" t="str">
        <f t="shared" si="33"/>
        <v>6' 6"</v>
      </c>
      <c r="I539">
        <v>222</v>
      </c>
      <c r="J539" s="1">
        <v>35150</v>
      </c>
      <c r="K539" t="s">
        <v>24</v>
      </c>
      <c r="L539" t="s">
        <v>41</v>
      </c>
      <c r="M539">
        <v>2015</v>
      </c>
      <c r="N539" t="str">
        <f t="shared" si="34"/>
        <v>Drafted</v>
      </c>
      <c r="O539">
        <v>1</v>
      </c>
      <c r="P539">
        <v>10</v>
      </c>
    </row>
    <row r="540" spans="1:16" x14ac:dyDescent="0.35">
      <c r="A540" t="s">
        <v>177</v>
      </c>
      <c r="B540" t="s">
        <v>1066</v>
      </c>
      <c r="C540" t="str">
        <f>CONCATENATE(A540, " ",B540)</f>
        <v>James Wiseman</v>
      </c>
      <c r="D540" t="s">
        <v>18</v>
      </c>
      <c r="E540" s="2">
        <v>36708</v>
      </c>
      <c r="F540" s="3">
        <f t="shared" si="32"/>
        <v>7</v>
      </c>
      <c r="G540" s="3">
        <f t="shared" si="35"/>
        <v>1</v>
      </c>
      <c r="H540" s="2" t="str">
        <f t="shared" si="33"/>
        <v>7' 1"</v>
      </c>
      <c r="I540">
        <v>240</v>
      </c>
      <c r="J540" s="1">
        <v>36981</v>
      </c>
      <c r="K540" t="s">
        <v>24</v>
      </c>
      <c r="L540" t="s">
        <v>15</v>
      </c>
      <c r="M540">
        <v>2020</v>
      </c>
      <c r="N540" t="str">
        <f t="shared" si="34"/>
        <v>Drafted</v>
      </c>
      <c r="O540">
        <v>1</v>
      </c>
      <c r="P540">
        <v>2</v>
      </c>
    </row>
    <row r="541" spans="1:16" x14ac:dyDescent="0.35">
      <c r="A541" t="s">
        <v>189</v>
      </c>
      <c r="B541" t="s">
        <v>1067</v>
      </c>
      <c r="C541" t="str">
        <f>CONCATENATE(A541, " ",B541)</f>
        <v>Christian Wood</v>
      </c>
      <c r="D541" t="s">
        <v>13</v>
      </c>
      <c r="E541" s="2">
        <v>45086</v>
      </c>
      <c r="F541" s="3">
        <f t="shared" si="32"/>
        <v>6</v>
      </c>
      <c r="G541" s="3">
        <f t="shared" si="35"/>
        <v>9</v>
      </c>
      <c r="H541" s="2" t="str">
        <f t="shared" si="33"/>
        <v>6' 9"</v>
      </c>
      <c r="I541">
        <v>214</v>
      </c>
      <c r="J541" s="1">
        <v>34969</v>
      </c>
      <c r="K541" t="s">
        <v>24</v>
      </c>
      <c r="L541" t="s">
        <v>146</v>
      </c>
      <c r="M541">
        <v>2015</v>
      </c>
      <c r="N541" t="str">
        <f t="shared" si="34"/>
        <v>Undrafted</v>
      </c>
    </row>
    <row r="542" spans="1:16" x14ac:dyDescent="0.35">
      <c r="A542" t="s">
        <v>1068</v>
      </c>
      <c r="B542" t="s">
        <v>1069</v>
      </c>
      <c r="C542" t="str">
        <f>CONCATENATE(A542, " ",B542)</f>
        <v>Delon Wright</v>
      </c>
      <c r="D542" t="s">
        <v>28</v>
      </c>
      <c r="E542" s="2">
        <v>45082</v>
      </c>
      <c r="F542" s="3">
        <f t="shared" si="32"/>
        <v>6</v>
      </c>
      <c r="G542" s="3">
        <f t="shared" si="35"/>
        <v>5</v>
      </c>
      <c r="H542" s="2" t="str">
        <f t="shared" si="33"/>
        <v>6' 5"</v>
      </c>
      <c r="I542">
        <v>185</v>
      </c>
      <c r="J542" s="1">
        <v>33720</v>
      </c>
      <c r="K542" t="s">
        <v>24</v>
      </c>
      <c r="L542" t="s">
        <v>635</v>
      </c>
      <c r="M542">
        <v>2015</v>
      </c>
      <c r="N542" t="str">
        <f t="shared" si="34"/>
        <v>Drafted</v>
      </c>
      <c r="O542">
        <v>1</v>
      </c>
      <c r="P542">
        <v>20</v>
      </c>
    </row>
    <row r="543" spans="1:16" x14ac:dyDescent="0.35">
      <c r="A543" t="s">
        <v>1070</v>
      </c>
      <c r="B543" t="s">
        <v>1071</v>
      </c>
      <c r="C543" t="str">
        <f>CONCATENATE(A543, " ",B543)</f>
        <v>McKinley Wright IV</v>
      </c>
      <c r="D543" t="s">
        <v>28</v>
      </c>
      <c r="E543" s="2">
        <v>45057</v>
      </c>
      <c r="F543" s="3">
        <f t="shared" si="32"/>
        <v>5</v>
      </c>
      <c r="G543" s="3">
        <f t="shared" si="35"/>
        <v>11</v>
      </c>
      <c r="H543" s="2" t="str">
        <f t="shared" si="33"/>
        <v>5' 11"</v>
      </c>
      <c r="I543">
        <v>192</v>
      </c>
      <c r="J543" s="1">
        <v>36093</v>
      </c>
      <c r="K543" t="s">
        <v>24</v>
      </c>
      <c r="L543" t="s">
        <v>222</v>
      </c>
      <c r="M543">
        <v>2021</v>
      </c>
      <c r="N543" t="str">
        <f t="shared" si="34"/>
        <v>Undrafted</v>
      </c>
    </row>
    <row r="544" spans="1:16" x14ac:dyDescent="0.35">
      <c r="A544" t="s">
        <v>1010</v>
      </c>
      <c r="B544" t="s">
        <v>1072</v>
      </c>
      <c r="C544" t="str">
        <f>CONCATENATE(A544, " ",B544)</f>
        <v>Gabe York</v>
      </c>
      <c r="D544" t="s">
        <v>28</v>
      </c>
      <c r="E544" s="2">
        <v>45080</v>
      </c>
      <c r="F544" s="3">
        <f t="shared" si="32"/>
        <v>6</v>
      </c>
      <c r="G544" s="3">
        <f t="shared" si="35"/>
        <v>3</v>
      </c>
      <c r="H544" s="2" t="str">
        <f t="shared" si="33"/>
        <v>6' 3"</v>
      </c>
      <c r="I544">
        <v>190</v>
      </c>
      <c r="J544" s="1">
        <v>34183</v>
      </c>
      <c r="K544" t="s">
        <v>24</v>
      </c>
      <c r="L544" t="s">
        <v>79</v>
      </c>
      <c r="M544">
        <v>2021</v>
      </c>
      <c r="N544" t="str">
        <f t="shared" si="34"/>
        <v>Undrafted</v>
      </c>
    </row>
    <row r="545" spans="1:16" x14ac:dyDescent="0.35">
      <c r="A545" t="s">
        <v>1073</v>
      </c>
      <c r="B545" t="s">
        <v>1074</v>
      </c>
      <c r="C545" t="str">
        <f>CONCATENATE(A545, " ",B545)</f>
        <v>Thaddeus Young</v>
      </c>
      <c r="D545" t="s">
        <v>13</v>
      </c>
      <c r="E545" s="2">
        <v>45085</v>
      </c>
      <c r="F545" s="3">
        <f t="shared" si="32"/>
        <v>6</v>
      </c>
      <c r="G545" s="3">
        <f t="shared" si="35"/>
        <v>8</v>
      </c>
      <c r="H545" s="2" t="str">
        <f t="shared" si="33"/>
        <v>6' 8"</v>
      </c>
      <c r="I545">
        <v>235</v>
      </c>
      <c r="J545" s="1">
        <v>32315</v>
      </c>
      <c r="K545" t="s">
        <v>24</v>
      </c>
      <c r="L545" t="s">
        <v>46</v>
      </c>
      <c r="M545">
        <v>2007</v>
      </c>
      <c r="N545" t="str">
        <f t="shared" si="34"/>
        <v>Drafted</v>
      </c>
      <c r="O545">
        <v>1</v>
      </c>
      <c r="P545">
        <v>12</v>
      </c>
    </row>
    <row r="546" spans="1:16" x14ac:dyDescent="0.35">
      <c r="A546" t="s">
        <v>1075</v>
      </c>
      <c r="B546" t="s">
        <v>1074</v>
      </c>
      <c r="C546" t="str">
        <f>CONCATENATE(A546, " ",B546)</f>
        <v>Trae Young</v>
      </c>
      <c r="D546" t="s">
        <v>28</v>
      </c>
      <c r="E546" s="2">
        <v>45078</v>
      </c>
      <c r="F546" s="3">
        <f t="shared" si="32"/>
        <v>6</v>
      </c>
      <c r="G546" s="3">
        <f t="shared" si="35"/>
        <v>1</v>
      </c>
      <c r="H546" s="2" t="str">
        <f t="shared" si="33"/>
        <v>6' 1"</v>
      </c>
      <c r="I546">
        <v>164</v>
      </c>
      <c r="J546" s="1">
        <v>36057</v>
      </c>
      <c r="K546" t="s">
        <v>24</v>
      </c>
      <c r="L546" t="s">
        <v>473</v>
      </c>
      <c r="M546">
        <v>2018</v>
      </c>
      <c r="N546" t="str">
        <f t="shared" si="34"/>
        <v>Drafted</v>
      </c>
      <c r="O546">
        <v>1</v>
      </c>
      <c r="P546">
        <v>5</v>
      </c>
    </row>
    <row r="547" spans="1:16" x14ac:dyDescent="0.35">
      <c r="A547" t="s">
        <v>1076</v>
      </c>
      <c r="B547" t="s">
        <v>1077</v>
      </c>
      <c r="C547" t="str">
        <f>CONCATENATE(A547, " ",B547)</f>
        <v>Omer Yurtseven</v>
      </c>
      <c r="D547" t="s">
        <v>18</v>
      </c>
      <c r="E547" s="2">
        <v>45088</v>
      </c>
      <c r="F547" s="3">
        <f t="shared" si="32"/>
        <v>6</v>
      </c>
      <c r="G547" s="3">
        <f t="shared" si="35"/>
        <v>11</v>
      </c>
      <c r="H547" s="2" t="str">
        <f t="shared" si="33"/>
        <v>6' 11"</v>
      </c>
      <c r="I547">
        <v>275</v>
      </c>
      <c r="J547" s="1">
        <v>35965</v>
      </c>
      <c r="K547" t="s">
        <v>626</v>
      </c>
      <c r="L547" t="s">
        <v>470</v>
      </c>
      <c r="M547">
        <v>2020</v>
      </c>
      <c r="N547" t="str">
        <f t="shared" si="34"/>
        <v>Undrafted</v>
      </c>
    </row>
    <row r="548" spans="1:16" x14ac:dyDescent="0.35">
      <c r="A548" t="s">
        <v>697</v>
      </c>
      <c r="B548" t="s">
        <v>1078</v>
      </c>
      <c r="C548" t="str">
        <f>CONCATENATE(A548, " ",B548)</f>
        <v>Cody Zeller</v>
      </c>
      <c r="D548" t="s">
        <v>32</v>
      </c>
      <c r="E548" s="2">
        <v>45088</v>
      </c>
      <c r="F548" s="3">
        <f t="shared" si="32"/>
        <v>6</v>
      </c>
      <c r="G548" s="3">
        <f t="shared" si="35"/>
        <v>11</v>
      </c>
      <c r="H548" s="2" t="str">
        <f t="shared" si="33"/>
        <v>6' 11"</v>
      </c>
      <c r="I548">
        <v>240</v>
      </c>
      <c r="J548" s="1">
        <v>33882</v>
      </c>
      <c r="K548" t="s">
        <v>24</v>
      </c>
      <c r="L548" t="s">
        <v>65</v>
      </c>
      <c r="M548">
        <v>2013</v>
      </c>
      <c r="N548" t="str">
        <f t="shared" si="34"/>
        <v>Drafted</v>
      </c>
      <c r="O548">
        <v>1</v>
      </c>
      <c r="P548">
        <v>4</v>
      </c>
    </row>
    <row r="549" spans="1:16" x14ac:dyDescent="0.35">
      <c r="A549" t="s">
        <v>1079</v>
      </c>
      <c r="B549" t="s">
        <v>1080</v>
      </c>
      <c r="C549" t="str">
        <f>CONCATENATE(A549, " ",B549)</f>
        <v>Ivica Zubac</v>
      </c>
      <c r="D549" t="s">
        <v>18</v>
      </c>
      <c r="E549" s="2">
        <v>36708</v>
      </c>
      <c r="F549" s="3">
        <f t="shared" si="32"/>
        <v>7</v>
      </c>
      <c r="G549" s="3">
        <f t="shared" si="35"/>
        <v>1</v>
      </c>
      <c r="H549" s="2" t="str">
        <f t="shared" si="33"/>
        <v>7' 1"</v>
      </c>
      <c r="I549">
        <v>240</v>
      </c>
      <c r="J549" s="1">
        <v>35507</v>
      </c>
      <c r="K549" t="s">
        <v>163</v>
      </c>
      <c r="L549" t="s">
        <v>150</v>
      </c>
      <c r="M549">
        <v>2016</v>
      </c>
      <c r="N549" t="str">
        <f t="shared" si="34"/>
        <v>Drafted</v>
      </c>
      <c r="O549">
        <v>2</v>
      </c>
      <c r="P549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Agboola</dc:creator>
  <cp:lastModifiedBy>Joy Agboola</cp:lastModifiedBy>
  <dcterms:created xsi:type="dcterms:W3CDTF">2023-08-29T15:07:46Z</dcterms:created>
  <dcterms:modified xsi:type="dcterms:W3CDTF">2023-08-29T16:18:13Z</dcterms:modified>
</cp:coreProperties>
</file>